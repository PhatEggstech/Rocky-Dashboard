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e1a45df76324a97" /></Relationships>
</file>

<file path=xl/workbook.xml><?xml version="1.0" encoding="utf-8"?>
<x:workbook xmlns:x="http://schemas.openxmlformats.org/spreadsheetml/2006/main">
  <x:sheets>
    <x:sheet xmlns:r="http://schemas.openxmlformats.org/officeDocument/2006/relationships" name="01 - Tổng quan" sheetId="1" r:id="Rb4cbbf417b83499d"/>
    <x:sheet xmlns:r="http://schemas.openxmlformats.org/officeDocument/2006/relationships" name="02 - Tool catalog" sheetId="2" r:id="R6f33b0bcb0b7429a"/>
    <x:sheet xmlns:r="http://schemas.openxmlformats.org/officeDocument/2006/relationships" name="03 - Test matrix" sheetId="3" r:id="R79673e34210646dd"/>
    <x:sheet xmlns:r="http://schemas.openxmlformats.org/officeDocument/2006/relationships" name="04 - Data &amp; formula" sheetId="4" r:id="Rf3c759d738b3461f"/>
    <x:sheet xmlns:r="http://schemas.openxmlformats.org/officeDocument/2006/relationships" name="05 - Gaps &amp; next steps" sheetId="5" r:id="R291077fc54a347c6"/>
    <x:sheet xmlns:r="http://schemas.openxmlformats.org/officeDocument/2006/relationships" name="06 - Dashboard API" sheetId="6" r:id="Rf725e8d554b94221"/>
    <x:sheet xmlns:r="http://schemas.openxmlformats.org/officeDocument/2006/relationships" name="07 - Runtime smoke" sheetId="7" r:id="Rc538d0b6dcb94cdd"/>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6"/>
      <x:color rgb="FFFFFFFF"/>
      <x:name val="Carlito"/>
    </x:font>
    <x:font>
      <x:i/>
      <x:sz val="11"/>
      <x:color rgb="FF1F4E78"/>
      <x:name val="Carlito"/>
    </x:font>
    <x:font>
      <x:b/>
      <x:sz val="11"/>
      <x:color rgb="FFFFFFFF"/>
      <x:name val="Carlito"/>
    </x:font>
    <x:font>
      <x:b/>
      <x:sz val="10"/>
      <x:color rgb="FFFFFFFF"/>
      <x:name val="Aptos"/>
    </x:font>
    <x:font>
      <x:sz val="10"/>
      <x:name val="Aptos"/>
    </x:font>
    <x:font>
      <x:i/>
      <x:sz val="10"/>
      <x:color rgb="FF1F4E78"/>
      <x:name val="Aptos"/>
    </x:font>
    <x:font>
      <x:b/>
      <x:sz val="16"/>
      <x:color rgb="FFFFFFFF"/>
      <x:name val="Aptos Display"/>
    </x:font>
  </x:fonts>
  <x:fills count="8">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E2F0D9"/>
      </x:patternFill>
    </x:fill>
    <x:fill>
      <x:patternFill patternType="solid">
        <x:fgColor rgb="FFFFF2CC"/>
      </x:patternFill>
    </x:fill>
    <x:fill>
      <x:patternFill patternType="solid">
        <x:fgColor rgb="FFFCE4D6"/>
      </x:patternFill>
    </x:fill>
  </x:fills>
  <x:borders count="12">
    <x:border/>
    <x:border>
      <x:left style="thin">
        <x:color rgb="FFB4C7E7"/>
      </x:left>
      <x:right style="thin">
        <x:color rgb="FFB4C7E7"/>
      </x:right>
      <x:top style="thin">
        <x:color rgb="FFB4C7E7"/>
      </x:top>
      <x:bottom style="thin">
        <x:color rgb="FFB4C7E7"/>
      </x:bottom>
    </x:border>
    <x:border>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top style="thin">
        <x:color rgb="FFD9E2F3"/>
      </x:top>
    </x:border>
    <x:border>
      <x:left style="thin">
        <x:color rgb="FFD9E2F3"/>
      </x:left>
      <x:right style="thin">
        <x:color rgb="FFD9E2F3"/>
      </x:right>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right style="thin">
        <x:color rgb="FFD9E2F3"/>
      </x:right>
      <x:top style="thin">
        <x:color rgb="FFD9E2F3"/>
      </x:top>
    </x:border>
    <x:border>
      <x:left style="thin">
        <x:color rgb="FFBF9000"/>
      </x:left>
      <x:right style="thin">
        <x:color rgb="FFBF9000"/>
      </x:right>
      <x:top style="thin">
        <x:color rgb="FFBF9000"/>
      </x:top>
      <x:bottom style="thin">
        <x:color rgb="FFBF9000"/>
      </x:bottom>
    </x:border>
  </x:borders>
  <x:cellStyleXfs count="1">
    <x:xf numFmtId="0" fontId="0" fillId="0" borderId="0"/>
  </x:cellStyleXfs>
  <x:cellXfs count="9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5" borderId="2" xfId="0" applyNumberFormat="1" applyFont="1" applyFill="1" applyBorder="1" applyAlignment="1">
      <x:alignment vertical="top" wrapText="1"/>
    </x:xf>
    <x:xf numFmtId="0" fontId="0" fillId="5" borderId="3" xfId="0" applyNumberFormat="1" applyFont="1" applyFill="1" applyBorder="1" applyAlignment="1">
      <x:alignment vertical="top" wrapText="1"/>
    </x:xf>
    <x:xf numFmtId="0" fontId="0" fillId="3" borderId="4" xfId="0" applyNumberFormat="1" applyFont="1" applyFill="1" applyBorder="1" applyAlignment="1">
      <x:alignment vertical="top" wrapText="1"/>
    </x:xf>
    <x:xf numFmtId="0" fontId="0" fillId="3" borderId="5" xfId="0" applyNumberFormat="1" applyFont="1" applyFill="1" applyBorder="1" applyAlignment="1">
      <x:alignment vertical="top" wrapText="1"/>
    </x:xf>
    <x:xf numFmtId="0" fontId="0" fillId="6" borderId="4" xfId="0" applyNumberFormat="1" applyFont="1" applyFill="1" applyBorder="1" applyAlignment="1">
      <x:alignment vertical="top" wrapText="1"/>
    </x:xf>
    <x:xf numFmtId="0" fontId="0" fillId="6" borderId="5" xfId="0" applyNumberFormat="1" applyFont="1" applyFill="1" applyBorder="1" applyAlignment="1">
      <x:alignment vertical="top" wrapText="1"/>
    </x:xf>
    <x:xf numFmtId="0" fontId="0" fillId="7" borderId="6" xfId="0" applyNumberFormat="1" applyFont="1" applyFill="1" applyBorder="1" applyAlignment="1">
      <x:alignment vertical="top" wrapText="1"/>
    </x:xf>
    <x:xf numFmtId="0" fontId="0" fillId="7" borderId="7" xfId="0" applyNumberFormat="1" applyFont="1" applyFill="1" applyBorder="1" applyAlignment="1">
      <x:alignment vertical="top" wrapText="1"/>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6" borderId="0" xfId="0" applyNumberFormat="1" applyFont="1" applyFill="1" applyBorder="1"/>
    <x:xf numFmtId="0" fontId="0" fillId="6" borderId="11" xfId="0" applyNumberFormat="1" applyFont="1" applyFill="1" applyBorder="1"/>
    <x:xf numFmtId="0" fontId="0" fillId="6" borderId="11" xfId="0" applyNumberFormat="1" applyFont="1" applyFill="1" applyBorder="1" applyAlignment="1">
      <x:alignment wrapText="1"/>
    </x:xf>
    <x:xf numFmtId="0" fontId="0" fillId="6" borderId="11" xfId="0" applyNumberFormat="1" applyFont="1" applyFill="1" applyBorder="1" applyAlignment="1">
      <x:alignment vertical="top" wrapText="1"/>
    </x:xf>
    <x:xf numFmtId="0" fontId="4" fillId="2" borderId="0" xfId="0" applyNumberFormat="1" applyFont="1" applyFill="1" applyBorder="1" applyAlignment="1">
      <x:alignment horizontal="left" vertical="center"/>
    </x:xf>
    <x:xf numFmtId="0" fontId="5" fillId="0" borderId="0" xfId="0" applyNumberFormat="1" applyFont="1" applyFill="1" applyBorder="1"/>
    <x:xf numFmtId="0" fontId="6" fillId="3" borderId="0" xfId="0" applyNumberFormat="1" applyFont="1" applyFill="1" applyBorder="1" applyAlignment="1">
      <x:alignment wrapText="1"/>
    </x:xf>
    <x:xf numFmtId="0" fontId="4" fillId="4" borderId="1" xfId="0" applyNumberFormat="1" applyFont="1" applyFill="1" applyBorder="1" applyAlignment="1">
      <x:alignment horizontal="center" vertical="center" wrapText="1"/>
    </x:xf>
    <x:xf numFmtId="0" fontId="5" fillId="5" borderId="2" xfId="0" applyNumberFormat="1" applyFont="1" applyFill="1" applyBorder="1" applyAlignment="1">
      <x:alignment vertical="top" wrapText="1"/>
    </x:xf>
    <x:xf numFmtId="0" fontId="5" fillId="5"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5" fillId="3" borderId="5" xfId="0" applyNumberFormat="1" applyFont="1" applyFill="1" applyBorder="1" applyAlignment="1">
      <x:alignment vertical="top" wrapText="1"/>
    </x:xf>
    <x:xf numFmtId="0" fontId="5" fillId="0" borderId="2"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7" borderId="6" xfId="0" applyNumberFormat="1" applyFont="1" applyFill="1" applyBorder="1" applyAlignment="1">
      <x:alignment vertical="top" wrapText="1"/>
    </x:xf>
    <x:xf numFmtId="0" fontId="5" fillId="7" borderId="7"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6" borderId="11" xfId="0" applyNumberFormat="1" applyFont="1" applyFill="1" applyBorder="1" applyAlignment="1">
      <x:alignment vertical="top" wrapText="1"/>
    </x:xf>
    <x:xf numFmtId="0" fontId="7" fillId="2" borderId="0" xfId="0" applyNumberFormat="1" applyFont="1" applyFill="1" applyBorder="1" applyAlignment="1">
      <x:alignment horizontal="left" vertical="center"/>
    </x:xf>
    <x:xf numFmtId="0" fontId="0" fillId="7" borderId="8" xfId="0" applyNumberFormat="1" applyFont="1" applyFill="1" applyBorder="1" applyAlignment="1">
      <x:alignment vertical="top" wrapText="1"/>
    </x:xf>
    <x:xf numFmtId="0" fontId="0" fillId="7" borderId="9" xfId="0" applyNumberFormat="1" applyFont="1" applyFill="1" applyBorder="1" applyAlignment="1">
      <x:alignment vertical="top" wrapText="1"/>
    </x:xf>
    <x:xf numFmtId="0" fontId="0" fillId="6" borderId="9" xfId="0" applyNumberFormat="1" applyFont="1" applyFill="1" applyBorder="1" applyAlignment="1">
      <x:alignment vertical="top" wrapText="1"/>
    </x:xf>
    <x:xf numFmtId="0" fontId="0" fillId="5" borderId="9" xfId="0" applyNumberFormat="1" applyFont="1" applyFill="1" applyBorder="1" applyAlignment="1">
      <x:alignment vertical="top" wrapText="1"/>
    </x:xf>
    <x:xf numFmtId="0" fontId="0" fillId="5" borderId="10" xfId="0" applyNumberFormat="1" applyFont="1" applyFill="1" applyBorder="1" applyAlignment="1">
      <x:alignment vertical="top" wrapText="1"/>
    </x:xf>
    <x:xf numFmtId="0" fontId="0" fillId="6" borderId="8" xfId="0" applyNumberFormat="1" applyFont="1" applyFill="1" applyBorder="1" applyAlignment="1">
      <x:alignment vertical="top" wrapText="1"/>
    </x:xf>
    <x:xf numFmtId="0" fontId="0" fillId="7" borderId="10"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5" fillId="7" borderId="8" xfId="0" applyNumberFormat="1" applyFont="1" applyFill="1" applyBorder="1" applyAlignment="1">
      <x:alignment vertical="top" wrapText="1"/>
    </x:xf>
    <x:xf numFmtId="0" fontId="5" fillId="7" borderId="9" xfId="0" applyNumberFormat="1" applyFont="1" applyFill="1" applyBorder="1" applyAlignment="1">
      <x:alignment vertical="top" wrapText="1"/>
    </x:xf>
    <x:xf numFmtId="0" fontId="5" fillId="6" borderId="9" xfId="0" applyNumberFormat="1" applyFont="1" applyFill="1" applyBorder="1" applyAlignment="1">
      <x:alignment vertical="top" wrapText="1"/>
    </x:xf>
    <x:xf numFmtId="0" fontId="5" fillId="5" borderId="9" xfId="0" applyNumberFormat="1" applyFont="1" applyFill="1" applyBorder="1" applyAlignment="1">
      <x:alignment vertical="top" wrapText="1"/>
    </x:xf>
    <x:xf numFmtId="0" fontId="5" fillId="5" borderId="10" xfId="0" applyNumberFormat="1" applyFont="1" applyFill="1" applyBorder="1" applyAlignment="1">
      <x:alignment vertical="top" wrapText="1"/>
    </x:xf>
    <x:xf numFmtId="0" fontId="5" fillId="6" borderId="8" xfId="0" applyNumberFormat="1" applyFont="1" applyFill="1" applyBorder="1" applyAlignment="1">
      <x:alignment vertical="top" wrapText="1"/>
    </x:xf>
    <x:xf numFmtId="0" fontId="5" fillId="7" borderId="10" xfId="0" applyNumberFormat="1" applyFont="1" applyFill="1" applyBorder="1" applyAlignment="1">
      <x:alignment vertical="top" wrapText="1"/>
    </x:xf>
    <x:xf numFmtId="0" fontId="5" fillId="5" borderId="8" xfId="0" applyNumberFormat="1" applyFont="1" applyFill="1" applyBorder="1" applyAlignment="1">
      <x:alignment vertical="top" wrapText="1"/>
    </x:xf>
  </x:cellXfs>
  <x:cellStyles count="1">
    <x:cellStyle name="Normal" xfId="0"/>
  </x:cellStyles>
  <x:dxfs count="2">
    <x:dxf>
      <x:font>
        <x:b/>
        <x:color rgb="FF9C0006"/>
      </x:font>
      <x:fill>
        <x:patternFill patternType="solid">
          <x:bgColor rgb="FFFCE4D6"/>
        </x:patternFill>
      </x:fill>
    </x:dxf>
    <x:dxf>
      <x:font>
        <x:b/>
        <x:color rgb="FF9C65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a630de9a19e4412" /><Relationship Type="http://schemas.openxmlformats.org/officeDocument/2006/relationships/theme" Target="/xl/theme/theme1.xml" Id="Rca05d3dc2de54dc2" /><Relationship Type="http://schemas.openxmlformats.org/officeDocument/2006/relationships/sharedStrings" Target="/xl/sharedStrings.xml" Id="R887b373f009c4fd1" /><Relationship Type="http://schemas.openxmlformats.org/officeDocument/2006/relationships/worksheet" Target="/xl/worksheets/sheet1.xml" Id="Rb4cbbf417b83499d" /><Relationship Type="http://schemas.openxmlformats.org/officeDocument/2006/relationships/worksheet" Target="/xl/worksheets/sheet2.xml" Id="R6f33b0bcb0b7429a" /><Relationship Type="http://schemas.openxmlformats.org/officeDocument/2006/relationships/worksheet" Target="/xl/worksheets/sheet3.xml" Id="R79673e34210646dd" /><Relationship Type="http://schemas.openxmlformats.org/officeDocument/2006/relationships/worksheet" Target="/xl/worksheets/sheet4.xml" Id="Rf3c759d738b3461f" /><Relationship Type="http://schemas.openxmlformats.org/officeDocument/2006/relationships/worksheet" Target="/xl/worksheets/sheet5.xml" Id="R291077fc54a347c6" /><Relationship Type="http://schemas.openxmlformats.org/officeDocument/2006/relationships/worksheet" Target="/xl/worksheets/sheet6.xml" Id="Rf725e8d554b94221" /><Relationship Type="http://schemas.openxmlformats.org/officeDocument/2006/relationships/worksheet" Target="/xl/worksheets/sheet7.xml" Id="Rc538d0b6dcb94cd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20" hidden="0" customWidth="1"/>
    <x:col min="3" max="3" width="3" hidden="0" customWidth="1"/>
    <x:col min="4" max="4" width="7" hidden="0" customWidth="1"/>
    <x:col min="5" max="5" width="36" hidden="0" customWidth="1"/>
    <x:col min="6" max="6" width="20" hidden="0" customWidth="1"/>
    <x:col min="7" max="7" width="12" hidden="0" customWidth="1"/>
    <x:col min="8" max="8" width="26" hidden="0" customWidth="1"/>
  </x:cols>
  <x:sheetData>
    <x:row r="1" ht="28" customHeight="1">
      <x:c r="A1" s="53" t="str">
        <x:v>ROCKY MCP - TECHNICAL ACCEPTANCE CHECKLIST</x:v>
      </x:c>
      <x:c r="B1" s="53" t="str">
        <x:v>ROCKY MCP - TECHNICAL ACCEPTANCE CHECKLIST</x:v>
      </x:c>
      <x:c r="C1" s="53" t="str">
        <x:v>ROCKY MCP - TECHNICAL ACCEPTANCE CHECKLIST</x:v>
      </x:c>
      <x:c r="D1" s="53" t="str">
        <x:v>ROCKY MCP - TECHNICAL ACCEPTANCE CHECKLIST</x:v>
      </x:c>
      <x:c r="E1" s="53" t="str">
        <x:v>ROCKY MCP - TECHNICAL ACCEPTANCE CHECKLIST</x:v>
      </x:c>
      <x:c r="F1" s="53" t="str">
        <x:v>ROCKY MCP - TECHNICAL ACCEPTANCE CHECKLIST</x:v>
      </x:c>
      <x:c r="G1" s="53" t="str">
        <x:v>ROCKY MCP - TECHNICAL ACCEPTANCE CHECKLIST</x:v>
      </x:c>
      <x:c r="H1" s="53" t="str">
        <x:v>ROCKY MCP - TECHNICAL ACCEPTANCE CHECKLIST</x:v>
      </x:c>
    </x:row>
    <x:row r="2">
      <x:c r="A2" s="54"/>
      <x:c r="B2" s="54"/>
      <x:c r="C2" s="54"/>
      <x:c r="D2" s="54"/>
      <x:c r="E2" s="54"/>
      <x:c r="F2" s="54"/>
      <x:c r="G2" s="54"/>
      <x:c r="H2" s="54"/>
    </x:row>
    <x:row r="3">
      <x:c r="A3" s="55" t="str">
        <x:v>Mục tiêu: làm rõ từng tool, use case, nguồn dữ liệu/công thức, bằng chứng test và khoảng trống cần xử lý trước nghiệm thu.</x:v>
      </x:c>
      <x:c r="B3" s="54"/>
      <x:c r="C3" s="54"/>
      <x:c r="D3" s="54"/>
      <x:c r="E3" s="54"/>
      <x:c r="F3" s="54"/>
      <x:c r="G3" s="54"/>
      <x:c r="H3" s="54"/>
    </x:row>
    <x:row r="4">
      <x:c r="A4" s="54"/>
      <x:c r="B4" s="54"/>
      <x:c r="C4" s="54"/>
      <x:c r="D4" s="54"/>
      <x:c r="E4" s="54"/>
      <x:c r="F4" s="54"/>
      <x:c r="G4" s="54"/>
      <x:c r="H4" s="54"/>
    </x:row>
    <x:row r="5">
      <x:c r="A5" s="56" t="str">
        <x:v>Chỉ số</x:v>
      </x:c>
      <x:c r="B5" s="56" t="str">
        <x:v>Giá trị</x:v>
      </x:c>
      <x:c r="C5" s="54"/>
      <x:c r="D5" s="56" t="str">
        <x:v>Yêu cầu cần nghiệm thu</x:v>
      </x:c>
      <x:c r="E5" s="56"/>
      <x:c r="F5" s="56"/>
      <x:c r="G5" s="56"/>
      <x:c r="H5" s="56"/>
    </x:row>
    <x:row r="6">
      <x:c r="A6" s="57" t="str">
        <x:v>Tổng tool MCP</x:v>
      </x:c>
      <x:c r="B6" s="58" t="n">
        <x:v>57</x:v>
      </x:c>
      <x:c r="C6" s="54"/>
      <x:c r="D6" s="56" t="str">
        <x:v>1</x:v>
      </x:c>
      <x:c r="E6" s="56" t="str">
        <x:v>Danh mục 57 tool, role và use case</x:v>
      </x:c>
      <x:c r="F6" s="56" t="str">
        <x:v>Sheet 02</x:v>
      </x:c>
      <x:c r="G6" s="56" t="str">
        <x:v>Có</x:v>
      </x:c>
      <x:c r="H6" s="56" t="str">
        <x:v>Catalog theo source code</x:v>
      </x:c>
    </x:row>
    <x:row r="7">
      <x:c r="A7" s="59" t="str">
        <x:v>Covered (unit/mock/API contract)</x:v>
      </x:c>
      <x:c r="B7" s="60" t="n">
        <x:f>COUNTIF('02 - Tool catalog'!I4:I60,"Covered (API contract)")+COUNTIF('02 - Tool catalog'!I4:I60,"Covered (unit/mock)")+COUNTIF('02 - Tool catalog'!I4:I60,"Covered (unit)")</x:f>
        <x:v>14</x:v>
      </x:c>
      <x:c r="C7" s="54"/>
      <x:c r="D7" s="61" t="str">
        <x:v>2</x:v>
      </x:c>
      <x:c r="E7" s="62" t="str">
        <x:v>Nguồn dữ liệu, logic/công thức và disclaimer</x:v>
      </x:c>
      <x:c r="F7" s="62" t="str">
        <x:v>Sheet 04</x:v>
      </x:c>
      <x:c r="G7" s="62" t="str">
        <x:v>Có</x:v>
      </x:c>
      <x:c r="H7" s="63" t="str">
        <x:v>Phân biệt Dashboard/POS/WMS</x:v>
      </x:c>
    </x:row>
    <x:row r="8">
      <x:c r="A8" s="64" t="str">
        <x:v>Partial</x:v>
      </x:c>
      <x:c r="B8" s="65" t="n">
        <x:f>COUNTIF('02 - Tool catalog'!I4:I60,"Partial")</x:f>
        <x:v>10</x:v>
      </x:c>
      <x:c r="C8" s="54"/>
      <x:c r="D8" s="66" t="str">
        <x:v>3</x:v>
      </x:c>
      <x:c r="E8" s="67" t="str">
        <x:v>Test case cho từng nhóm use case</x:v>
      </x:c>
      <x:c r="F8" s="67" t="str">
        <x:v>Sheet 03</x:v>
      </x:c>
      <x:c r="G8" s="67" t="str">
        <x:v>Có</x:v>
      </x:c>
      <x:c r="H8" s="68" t="str">
        <x:v>16 test scenario</x:v>
      </x:c>
    </x:row>
    <x:row r="9">
      <x:c r="A9" s="69" t="str">
        <x:v>Not covered</x:v>
      </x:c>
      <x:c r="B9" s="70" t="n">
        <x:f>COUNTIF('02 - Tool catalog'!I4:I60,"Not covered")</x:f>
        <x:v>33</x:v>
      </x:c>
      <x:c r="C9" s="54"/>
      <x:c r="D9" s="66" t="str">
        <x:v>4</x:v>
      </x:c>
      <x:c r="E9" s="67" t="str">
        <x:v>Coverage thực tế và gap không che giấu</x:v>
      </x:c>
      <x:c r="F9" s="67" t="str">
        <x:v>Sheet 02 + 05</x:v>
      </x:c>
      <x:c r="G9" s="67" t="str">
        <x:v>Có</x:v>
      </x:c>
      <x:c r="H9" s="68" t="str">
        <x:v>Không lấy smoke thay unit test</x:v>
      </x:c>
    </x:row>
    <x:row r="10">
      <x:c r="A10" s="54"/>
      <x:c r="B10" s="54"/>
      <x:c r="C10" s="54"/>
      <x:c r="D10" s="71" t="str">
        <x:v>5</x:v>
      </x:c>
      <x:c r="E10" s="72" t="str">
        <x:v>Kế hoạch ưu tiên để đủ UAT</x:v>
      </x:c>
      <x:c r="F10" s="72" t="str">
        <x:v>Sheet 05</x:v>
      </x:c>
      <x:c r="G10" s="72" t="str">
        <x:v>Có</x:v>
      </x:c>
      <x:c r="H10" s="73" t="str">
        <x:v>P0/P1/P2</x:v>
      </x:c>
    </x:row>
    <x:row r="11">
      <x:c r="A11" s="54"/>
      <x:c r="B11" s="54"/>
      <x:c r="C11" s="54"/>
      <x:c r="D11" s="54"/>
      <x:c r="E11" s="54"/>
      <x:c r="F11" s="54"/>
      <x:c r="G11" s="54"/>
      <x:c r="H11" s="54"/>
    </x:row>
    <x:row r="12">
      <x:c r="A12" s="74" t="str">
        <x:v>Quy ước quan trọng: ‘Not covered’ = chưa có test tự động hoặc evidence nghiệm thu cho tình huống đó; KHÔNG đồng nghĩa tool không chạy hoặc không kết nối được. Toàn bộ tool Dashboard API được nghiệm thu là ‘Covered (API contract)’ vì dùng cùng API/source-of-truth với giao diện Dashboard. Product ranking, schema retrieval, payment-type validation, local-auth migration và disclaimer helper có unit coverage. WMS, raw SQL safety, phần lớn vận hành POS/financial KPI và Telegram chưa có bộ test tự động đủ mạnh. ‘Covered (API contract)’ cần được rà lại khi Dashboard đổi API contract.</x:v>
      </x:c>
      <x:c r="B12" s="54"/>
      <x:c r="C12" s="54"/>
      <x:c r="D12" s="54"/>
      <x:c r="E12" s="54"/>
      <x:c r="F12" s="54"/>
      <x:c r="G12" s="54"/>
      <x:c r="H12" s="54"/>
    </x:row>
    <x:row r="13">
      <x:c r="A13" s="54"/>
      <x:c r="B13" s="54"/>
      <x:c r="C13" s="54"/>
      <x:c r="D13" s="54"/>
      <x:c r="E13" s="54"/>
      <x:c r="F13" s="54"/>
      <x:c r="G13" s="54"/>
      <x:c r="H13" s="54"/>
    </x:row>
    <x:row r="14">
      <x:c r="A14" s="54"/>
      <x:c r="B14" s="54"/>
      <x:c r="C14" s="54"/>
      <x:c r="D14" s="54"/>
      <x:c r="E14" s="54"/>
      <x:c r="F14" s="54"/>
      <x:c r="G14" s="54"/>
      <x:c r="H14" s="54"/>
    </x:row>
    <x:row r="15">
      <x:c r="A15" s="54"/>
      <x:c r="B15" s="54"/>
      <x:c r="C15" s="54"/>
      <x:c r="D15" s="54"/>
      <x:c r="E15" s="54"/>
      <x:c r="F15" s="54"/>
      <x:c r="G15" s="54"/>
      <x:c r="H15" s="54"/>
    </x:row>
  </x:sheetData>
  <x:mergeCells>
    <x:mergeCell ref="A1:H1"/>
    <x:mergeCell ref="A3:H3"/>
    <x:mergeCell ref="D5:H5"/>
    <x:mergeCell ref="A12:H1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20" hidden="0" customWidth="1"/>
    <x:col min="3" max="3" width="31" hidden="0" customWidth="1"/>
    <x:col min="4" max="4" width="48" hidden="0" customWidth="1"/>
    <x:col min="5" max="5" width="38" hidden="0" customWidth="1"/>
    <x:col min="6" max="6" width="64" hidden="0" customWidth="1"/>
    <x:col min="7" max="7" width="25" hidden="0" customWidth="1"/>
    <x:col min="8" max="8" width="34" hidden="0" customWidth="1"/>
    <x:col min="9" max="9" width="19" hidden="0" customWidth="1"/>
    <x:col min="10" max="10" width="47" hidden="0" customWidth="1"/>
    <x:col min="11" max="11" width="18" hidden="0" customWidth="1"/>
  </x:cols>
  <x:sheetData>
    <x:row r="1" ht="28" customHeight="1">
      <x:c r="A1" s="53" t="str">
        <x:v>TOOL CATALOG - USE CASE, DATA SOURCE, LOGIC &amp; COVERAGE</x:v>
      </x:c>
      <x:c r="B1" s="53" t="str">
        <x:v>TOOL CATALOG - USE CASE, DATA SOURCE, LOGIC &amp; COVERAGE</x:v>
      </x:c>
      <x:c r="C1" s="53" t="str">
        <x:v>TOOL CATALOG - USE CASE, DATA SOURCE, LOGIC &amp; COVERAGE</x:v>
      </x:c>
      <x:c r="D1" s="53" t="str">
        <x:v>TOOL CATALOG - USE CASE, DATA SOURCE, LOGIC &amp; COVERAGE</x:v>
      </x:c>
      <x:c r="E1" s="53" t="str">
        <x:v>TOOL CATALOG - USE CASE, DATA SOURCE, LOGIC &amp; COVERAGE</x:v>
      </x:c>
      <x:c r="F1" s="53" t="str">
        <x:v>TOOL CATALOG - USE CASE, DATA SOURCE, LOGIC &amp; COVERAGE</x:v>
      </x:c>
      <x:c r="G1" s="53" t="str">
        <x:v>TOOL CATALOG - USE CASE, DATA SOURCE, LOGIC &amp; COVERAGE</x:v>
      </x:c>
      <x:c r="H1" s="53" t="str">
        <x:v>TOOL CATALOG - USE CASE, DATA SOURCE, LOGIC &amp; COVERAGE</x:v>
      </x:c>
      <x:c r="I1" s="53" t="str">
        <x:v>TOOL CATALOG - USE CASE, DATA SOURCE, LOGIC &amp; COVERAGE</x:v>
      </x:c>
      <x:c r="J1" s="53" t="str">
        <x:v>TOOL CATALOG - USE CASE, DATA SOURCE, LOGIC &amp; COVERAGE</x:v>
      </x:c>
      <x:c r="K1" s="53" t="str">
        <x:v>TOOL CATALOG - USE CASE, DATA SOURCE, LOGIC &amp; COVERAGE</x:v>
      </x:c>
    </x:row>
    <x:row r="2">
      <x:c r="A2" s="54"/>
      <x:c r="B2" s="54"/>
      <x:c r="C2" s="54"/>
      <x:c r="D2" s="54"/>
      <x:c r="E2" s="54"/>
      <x:c r="F2" s="54"/>
      <x:c r="G2" s="54"/>
      <x:c r="H2" s="54"/>
      <x:c r="I2" s="54"/>
      <x:c r="J2" s="54"/>
      <x:c r="K2" s="54"/>
    </x:row>
    <x:row r="3">
      <x:c r="A3" s="56" t="str">
        <x:v>ID</x:v>
      </x:c>
      <x:c r="B3" s="56" t="str">
        <x:v>Nhóm</x:v>
      </x:c>
      <x:c r="C3" s="56" t="str">
        <x:v>Tool</x:v>
      </x:c>
      <x:c r="D3" s="56" t="str">
        <x:v>Use case / nghiệp vụ</x:v>
      </x:c>
      <x:c r="E3" s="56" t="str">
        <x:v>Nguồn dữ liệu</x:v>
      </x:c>
      <x:c r="F3" s="56" t="str">
        <x:v>Logic / công thức / contract</x:v>
      </x:c>
      <x:c r="G3" s="56" t="str">
        <x:v>Role</x:v>
      </x:c>
      <x:c r="H3" s="56" t="str">
        <x:v>Evidence test</x:v>
      </x:c>
      <x:c r="I3" s="56" t="str">
        <x:v>Coverage test (không phải uptime)</x:v>
      </x:c>
      <x:c r="J3" s="56" t="str">
        <x:v>Gap / test cần bổ sung</x:v>
      </x:c>
      <x:c r="K3" s="56" t="str">
        <x:v>Code ref</x:v>
      </x:c>
    </x:row>
    <x:row r="4">
      <x:c r="A4" s="61" t="str">
        <x:v>TOOL-01</x:v>
      </x:c>
      <x:c r="B4" s="62" t="str">
        <x:v>Admin raw SQL</x:v>
      </x:c>
      <x:c r="C4" s="62" t="str">
        <x:v>query_raw_sql_tool</x:v>
      </x:c>
      <x:c r="D4" s="62" t="str">
        <x:v>[ADMIN] Chạy câu lệnh SQL SELECT tùy ý (Read-only) trên database dashboard.</x:v>
      </x:c>
      <x:c r="E4" s="62" t="str">
        <x:v>Dashboard PostgreSQL</x:v>
      </x:c>
      <x:c r="F4" s="62" t="str">
        <x:v>Chỉ chấp nhận SELECT read-only; kết quả kỹ thuật, không được suy diễn thành KPI UI nếu chưa đối soát.</x:v>
      </x:c>
      <x:c r="G4" s="62" t="str">
        <x:v>admin</x:v>
      </x:c>
      <x:c r="H4" s="62" t="str">
        <x:v>—</x:v>
      </x:c>
      <x:c r="I4" s="84" t="str">
        <x:v>Not covered</x:v>
      </x:c>
      <x:c r="J4" s="62" t="str">
        <x:v>Cần test chặn non-SELECT, multi-statement, timeout và role.</x:v>
      </x:c>
      <x:c r="K4" s="63" t="str">
        <x:v>server.py:305</x:v>
      </x:c>
    </x:row>
    <x:row r="5">
      <x:c r="A5" s="66" t="str">
        <x:v>TOOL-02</x:v>
      </x:c>
      <x:c r="B5" s="67" t="str">
        <x:v>Admin raw SQL</x:v>
      </x:c>
      <x:c r="C5" s="67" t="str">
        <x:v>query_raw_pos_sql_tool</x:v>
      </x:c>
      <x:c r="D5" s="67" t="str">
        <x:v>[ADMIN] Chạy câu lệnh SQL SELECT tùy ý (Read-only) trên database POS gốc.</x:v>
      </x:c>
      <x:c r="E5" s="67" t="str">
        <x:v>POS PostgreSQL</x:v>
      </x:c>
      <x:c r="F5" s="67" t="str">
        <x:v>Chỉ chấp nhận SELECT read-only; kết quả kỹ thuật, không được suy diễn thành KPI UI nếu chưa đối soát.</x:v>
      </x:c>
      <x:c r="G5" s="67" t="str">
        <x:v>admin</x:v>
      </x:c>
      <x:c r="H5" s="67" t="str">
        <x:v>—</x:v>
      </x:c>
      <x:c r="I5" s="85" t="str">
        <x:v>Not covered</x:v>
      </x:c>
      <x:c r="J5" s="67" t="str">
        <x:v>Cần test chặn non-SELECT, multi-statement, timeout và role.</x:v>
      </x:c>
      <x:c r="K5" s="68" t="str">
        <x:v>server.py:313</x:v>
      </x:c>
    </x:row>
    <x:row r="6">
      <x:c r="A6" s="66" t="str">
        <x:v>TOOL-03</x:v>
      </x:c>
      <x:c r="B6" s="67" t="str">
        <x:v>Admin raw SQL</x:v>
      </x:c>
      <x:c r="C6" s="67" t="str">
        <x:v>query_raw_wms_sql_tool</x:v>
      </x:c>
      <x:c r="D6" s="67" t="str">
        <x:v>[ADMIN] Chạy một câu SELECT read-only trên database kho Rocky WMS.</x:v>
      </x:c>
      <x:c r="E6" s="67" t="str">
        <x:v>WMS PostgreSQL / bridge (read-only)</x:v>
      </x:c>
      <x:c r="F6" s="67" t="str">
        <x:v>Read-only WMS query theo kho/ngày/trạng thái; dữ liệu là snapshot live tại thời điểm gọi.</x:v>
      </x:c>
      <x:c r="G6" s="67" t="str">
        <x:v>admin</x:v>
      </x:c>
      <x:c r="H6" s="67" t="str">
        <x:v>—</x:v>
      </x:c>
      <x:c r="I6" s="85" t="str">
        <x:v>Not covered</x:v>
      </x:c>
      <x:c r="J6" s="67" t="str">
        <x:v>Cần unit test query + staging read-only smoke test.</x:v>
      </x:c>
      <x:c r="K6" s="68" t="str">
        <x:v>server.py:321</x:v>
      </x:c>
    </x:row>
    <x:row r="7">
      <x:c r="A7" s="66" t="str">
        <x:v>TOOL-04</x:v>
      </x:c>
      <x:c r="B7" s="67" t="str">
        <x:v>WMS live</x:v>
      </x:c>
      <x:c r="C7" s="67" t="str">
        <x:v>check_wms_health</x:v>
      </x:c>
      <x:c r="D7" s="67" t="str">
        <x:v>[ADMIN] Kiểm tra kết nối trực tiếp tới database kho Rocky WMS.</x:v>
      </x:c>
      <x:c r="E7" s="67" t="str">
        <x:v>WMS PostgreSQL / bridge (read-only)</x:v>
      </x:c>
      <x:c r="F7" s="67" t="str">
        <x:v>Read-only WMS query theo kho/ngày/trạng thái; dữ liệu là snapshot live tại thời điểm gọi.</x:v>
      </x:c>
      <x:c r="G7" s="67" t="str">
        <x:v>admin</x:v>
      </x:c>
      <x:c r="H7" s="67" t="str">
        <x:v>—</x:v>
      </x:c>
      <x:c r="I7" s="85" t="str">
        <x:v>Not covered</x:v>
      </x:c>
      <x:c r="J7" s="67" t="str">
        <x:v>Cần unit test query + staging read-only smoke test.</x:v>
      </x:c>
      <x:c r="K7" s="68" t="str">
        <x:v>server.py:329</x:v>
      </x:c>
    </x:row>
    <x:row r="8">
      <x:c r="A8" s="66" t="str">
        <x:v>TOOL-05</x:v>
      </x:c>
      <x:c r="B8" s="67" t="str">
        <x:v>WMS live</x:v>
      </x:c>
      <x:c r="C8" s="67" t="str">
        <x:v>get_warehouses_live</x:v>
      </x:c>
      <x:c r="D8" s="67" t="str">
        <x:v>[ADMIN] Danh sách kho/site và tổng tồn hiện tại từ WMS.</x:v>
      </x:c>
      <x:c r="E8" s="67" t="str">
        <x:v>WMS PostgreSQL / bridge (read-only)</x:v>
      </x:c>
      <x:c r="F8" s="67" t="str">
        <x:v>Read-only WMS query theo kho/ngày/trạng thái; dữ liệu là snapshot live tại thời điểm gọi.</x:v>
      </x:c>
      <x:c r="G8" s="67" t="str">
        <x:v>admin</x:v>
      </x:c>
      <x:c r="H8" s="67" t="str">
        <x:v>—</x:v>
      </x:c>
      <x:c r="I8" s="85" t="str">
        <x:v>Not covered</x:v>
      </x:c>
      <x:c r="J8" s="67" t="str">
        <x:v>Cần unit test query + staging read-only smoke test.</x:v>
      </x:c>
      <x:c r="K8" s="68" t="str">
        <x:v>server.py:337</x:v>
      </x:c>
    </x:row>
    <x:row r="9">
      <x:c r="A9" s="66" t="str">
        <x:v>TOOL-06</x:v>
      </x:c>
      <x:c r="B9" s="67" t="str">
        <x:v>WMS live</x:v>
      </x:c>
      <x:c r="C9" s="67" t="str">
        <x:v>get_inventory_live</x:v>
      </x:c>
      <x:c r="D9" s="67" t="str">
        <x:v>[ADMIN] Tồn kho trực tiếp theo kho hoặc sản phẩm; tự fallback cache khi WMS lỗi.</x:v>
      </x:c>
      <x:c r="E9" s="67" t="str">
        <x:v>WMS PostgreSQL / bridge (read-only)</x:v>
      </x:c>
      <x:c r="F9" s="67" t="str">
        <x:v>Đọc tồn theo ProductItem × Warehouse; có fallback cache khi WMS không phản hồi.</x:v>
      </x:c>
      <x:c r="G9" s="67" t="str">
        <x:v>admin</x:v>
      </x:c>
      <x:c r="H9" s="67" t="str">
        <x:v>—</x:v>
      </x:c>
      <x:c r="I9" s="85" t="str">
        <x:v>Not covered</x:v>
      </x:c>
      <x:c r="J9" s="67" t="str">
        <x:v>Cần fake WMS cho fallback cache, low stock, warehouse/product filter.</x:v>
      </x:c>
      <x:c r="K9" s="68" t="str">
        <x:v>server.py:345</x:v>
      </x:c>
    </x:row>
    <x:row r="10">
      <x:c r="A10" s="66" t="str">
        <x:v>TOOL-07</x:v>
      </x:c>
      <x:c r="B10" s="67" t="str">
        <x:v>WMS live</x:v>
      </x:c>
      <x:c r="C10" s="67" t="str">
        <x:v>get_inventory_movements</x:v>
      </x:c>
      <x:c r="D10" s="67" t="str">
        <x:v>[ADMIN] Lịch sử nhập/xuất/điều chỉnh tồn kho trực tiếp từ WMS. Format ngày: YYYY-MM-DD.</x:v>
      </x:c>
      <x:c r="E10" s="67" t="str">
        <x:v>WMS PostgreSQL / bridge (read-only)</x:v>
      </x:c>
      <x:c r="F10" s="67" t="str">
        <x:v>Read-only WMS query theo kho/ngày/trạng thái; dữ liệu là snapshot live tại thời điểm gọi.</x:v>
      </x:c>
      <x:c r="G10" s="67" t="str">
        <x:v>admin</x:v>
      </x:c>
      <x:c r="H10" s="67" t="str">
        <x:v>—</x:v>
      </x:c>
      <x:c r="I10" s="85" t="str">
        <x:v>Not covered</x:v>
      </x:c>
      <x:c r="J10" s="67" t="str">
        <x:v>Cần unit test query + staging read-only smoke test.</x:v>
      </x:c>
      <x:c r="K10" s="68" t="str">
        <x:v>server.py:358</x:v>
      </x:c>
    </x:row>
    <x:row r="11">
      <x:c r="A11" s="66" t="str">
        <x:v>TOOL-08</x:v>
      </x:c>
      <x:c r="B11" s="67" t="str">
        <x:v>WMS live</x:v>
      </x:c>
      <x:c r="C11" s="67" t="str">
        <x:v>get_outbound_deliveries</x:v>
      </x:c>
      <x:c r="D11" s="67" t="str">
        <x:v>[ADMIN] Phiếu xuất kho theo ngày/kho/trạng thái từ WMS. Status: completed/cancelled/processing.</x:v>
      </x:c>
      <x:c r="E11" s="67" t="str">
        <x:v>WMS PostgreSQL / bridge (read-only)</x:v>
      </x:c>
      <x:c r="F11" s="67" t="str">
        <x:v>Read-only WMS query theo kho/ngày/trạng thái; dữ liệu là snapshot live tại thời điểm gọi.</x:v>
      </x:c>
      <x:c r="G11" s="67" t="str">
        <x:v>admin</x:v>
      </x:c>
      <x:c r="H11" s="67" t="str">
        <x:v>—</x:v>
      </x:c>
      <x:c r="I11" s="85" t="str">
        <x:v>Not covered</x:v>
      </x:c>
      <x:c r="J11" s="67" t="str">
        <x:v>Cần unit test query + staging read-only smoke test.</x:v>
      </x:c>
      <x:c r="K11" s="68" t="str">
        <x:v>server.py:373</x:v>
      </x:c>
    </x:row>
    <x:row r="12">
      <x:c r="A12" s="66" t="str">
        <x:v>TOOL-09</x:v>
      </x:c>
      <x:c r="B12" s="67" t="str">
        <x:v>Operations alert</x:v>
      </x:c>
      <x:c r="C12" s="67" t="str">
        <x:v>trigger_debt_reminders</x:v>
      </x:c>
      <x:c r="D12" s="67" t="str">
        <x:v>[ADMIN] Kích hoạt khẩn cấp tiến trình quét nợ quá hạn và gửi nhắc nợ Telegram.</x:v>
      </x:c>
      <x:c r="E12" s="67" t="str">
        <x:v>Dashboard/POS debt data + Telegram integration</x:v>
      </x:c>
      <x:c r="F12" s="67" t="str">
        <x:v>Quét nợ quá hạn, nhóm theo nhân viên và gửi Telegram; là tool có side effect, admin-only.</x:v>
      </x:c>
      <x:c r="G12" s="67" t="str">
        <x:v>admin</x:v>
      </x:c>
      <x:c r="H12" s="67" t="str">
        <x:v>tests/test_payment_types.py</x:v>
      </x:c>
      <x:c r="I12" s="86" t="str">
        <x:v>Partial</x:v>
      </x:c>
      <x:c r="J12" s="67" t="str">
        <x:v>Chỉ cover resolve document type; chưa mock query/Allocate-vs-Receive end-to-end.</x:v>
      </x:c>
      <x:c r="K12" s="68" t="str">
        <x:v>server.py:387</x:v>
      </x:c>
    </x:row>
    <x:row r="13">
      <x:c r="A13" s="66" t="str">
        <x:v>TOOL-10</x:v>
      </x:c>
      <x:c r="B13" s="67" t="str">
        <x:v>Debt &amp; B2B</x:v>
      </x:c>
      <x:c r="C13" s="67" t="str">
        <x:v>get_debt</x:v>
      </x:c>
      <x:c r="D13" s="67" t="str">
        <x:v>Lấy công nợ khách hàng B2B. CurrentBalance âm = khách nợ.</x:v>
      </x:c>
      <x:c r="E13" s="67" t="str">
        <x:v>POS PostgreSQL — Customer/PaymentOrder</x:v>
      </x:c>
      <x:c r="F13" s="67" t="str">
        <x:v>Tính/đọc công nợ theo contract PaymentOrder; ưu tiên Allocate khi có, Receive fallback dữ liệu cũ.</x:v>
      </x:c>
      <x:c r="G13" s="67" t="str">
        <x:v>admin, manager</x:v>
      </x:c>
      <x:c r="H13" s="67" t="str">
        <x:v>tests/test_payment_types.py</x:v>
      </x:c>
      <x:c r="I13" s="86" t="str">
        <x:v>Partial</x:v>
      </x:c>
      <x:c r="J13" s="67" t="str">
        <x:v>Chỉ cover resolve document type; chưa mock query/Allocate-vs-Receive end-to-end.</x:v>
      </x:c>
      <x:c r="K13" s="68" t="str">
        <x:v>server.py:399</x:v>
      </x:c>
    </x:row>
    <x:row r="14">
      <x:c r="A14" s="66" t="str">
        <x:v>TOOL-11</x:v>
      </x:c>
      <x:c r="B14" s="67" t="str">
        <x:v>Inventory &amp; fulfillment</x:v>
      </x:c>
      <x:c r="C14" s="67" t="str">
        <x:v>get_inventory</x:v>
      </x:c>
      <x:c r="D14" s="67" t="str">
        <x:v>Lấy tồn kho. dead_stock_only=True để xem hàng chết (&gt;90 ngày không bán).</x:v>
      </x:c>
      <x:c r="E14" s="67" t="str">
        <x:v>Dashboard/POS reporting store (read-only)</x:v>
      </x:c>
      <x:c r="F14" s="67" t="str">
        <x:v>Tổng hợp tồn, hàng chết hoặc năng suất picker theo contract legacy; cần đối soát WMS cho tồn live.</x:v>
      </x:c>
      <x:c r="G14" s="67" t="str">
        <x:v>admin, manager</x:v>
      </x:c>
      <x:c r="H14" s="67" t="str">
        <x:v>—</x:v>
      </x:c>
      <x:c r="I14" s="85" t="str">
        <x:v>Not covered</x:v>
      </x:c>
      <x:c r="J14" s="67" t="str">
        <x:v>Cần mock DB + edge cases input/empty result/store scope.</x:v>
      </x:c>
      <x:c r="K14" s="68" t="str">
        <x:v>server.py:408</x:v>
      </x:c>
    </x:row>
    <x:row r="15">
      <x:c r="A15" s="66" t="str">
        <x:v>TOOL-12</x:v>
      </x:c>
      <x:c r="B15" s="67" t="str">
        <x:v>Customer analytics</x:v>
      </x:c>
      <x:c r="C15" s="67" t="str">
        <x:v>get_customers</x:v>
      </x:c>
      <x:c r="D15" s="67" t="str">
        <x:v>Lấy khách hàng RFM. Segments: Champion, Loyal, At-Risk, Hibernating, Lost</x:v>
      </x:c>
      <x:c r="E15" s="67" t="str">
        <x:v>POS PostgreSQL / reporting bridge (read-only)</x:v>
      </x:c>
      <x:c r="F15" s="67" t="str">
        <x:v>Tổng hợp theo SQL tool-specific, phạm vi thời gian và store filter do server kiểm soát.</x:v>
      </x:c>
      <x:c r="G15" s="67" t="str">
        <x:v>admin, manager</x:v>
      </x:c>
      <x:c r="H15" s="67" t="str">
        <x:v>—</x:v>
      </x:c>
      <x:c r="I15" s="85" t="str">
        <x:v>Not covered</x:v>
      </x:c>
      <x:c r="J15" s="67" t="str">
        <x:v>Cần mock DB + edge cases input/empty result/store scope.</x:v>
      </x:c>
      <x:c r="K15" s="68" t="str">
        <x:v>server.py:417</x:v>
      </x:c>
    </x:row>
    <x:row r="16">
      <x:c r="A16" s="66" t="str">
        <x:v>TOOL-13</x:v>
      </x:c>
      <x:c r="B16" s="67" t="str">
        <x:v>Customer analytics</x:v>
      </x:c>
      <x:c r="C16" s="67" t="str">
        <x:v>get_customer_sales</x:v>
      </x:c>
      <x:c r="D16" s="67" t="str">
        <x:v>Doanh số theo khách hàng giống màn Doanh số KH của Rocky Lens. dashboard_top_summary cộng Top N, còn all_customers_summary cộng toàn bộ. Dùng relative_period hoặc date_from/date_to.</x:v>
      </x:c>
      <x:c r="E16" s="67" t="str">
        <x:v>POS PostgreSQL</x:v>
      </x:c>
      <x:c r="F16" s="67" t="str">
        <x:v>Phân trang doanh số khách; dashboard_top_summary và all_customers_summary là hai phạm vi riêng.</x:v>
      </x:c>
      <x:c r="G16" s="67" t="str">
        <x:v>admin, manager, bod</x:v>
      </x:c>
      <x:c r="H16" s="67" t="str">
        <x:v>—</x:v>
      </x:c>
      <x:c r="I16" s="85" t="str">
        <x:v>Not covered</x:v>
      </x:c>
      <x:c r="J16" s="67" t="str">
        <x:v>Cần mock DB + edge cases input/empty result/store scope.</x:v>
      </x:c>
      <x:c r="K16" s="68" t="str">
        <x:v>server.py:426</x:v>
      </x:c>
    </x:row>
    <x:row r="17">
      <x:c r="A17" s="66" t="str">
        <x:v>TOOL-14</x:v>
      </x:c>
      <x:c r="B17" s="67" t="str">
        <x:v>POS finance &amp; KPI</x:v>
      </x:c>
      <x:c r="C17" s="67" t="str">
        <x:v>get_stores</x:v>
      </x:c>
      <x:c r="D17" s="67" t="str">
        <x:v>Lấy performance từng cửa hàng.</x:v>
      </x:c>
      <x:c r="E17" s="67" t="str">
        <x:v>POS PostgreSQL / reporting bridge (read-only)</x:v>
      </x:c>
      <x:c r="F17" s="67" t="str">
        <x:v>Tổng hợp theo SQL tool-specific, phạm vi thời gian và store filter do server kiểm soát.</x:v>
      </x:c>
      <x:c r="G17" s="67" t="str">
        <x:v>admin, manager</x:v>
      </x:c>
      <x:c r="H17" s="67" t="str">
        <x:v>—</x:v>
      </x:c>
      <x:c r="I17" s="85" t="str">
        <x:v>Not covered</x:v>
      </x:c>
      <x:c r="J17" s="67" t="str">
        <x:v>Cần mock DB + edge cases input/empty result/store scope.</x:v>
      </x:c>
      <x:c r="K17" s="68" t="str">
        <x:v>server.py:463</x:v>
      </x:c>
    </x:row>
    <x:row r="18">
      <x:c r="A18" s="66" t="str">
        <x:v>TOOL-15</x:v>
      </x:c>
      <x:c r="B18" s="67" t="str">
        <x:v>Debt &amp; B2B</x:v>
      </x:c>
      <x:c r="C18" s="67" t="str">
        <x:v>get_debt_recovery_rate</x:v>
      </x:c>
      <x:c r="D18" s="67" t="str">
        <x:v>Tính toán tỷ lệ thu hồi nợ trung bình của các đại lý B2B.</x:v>
      </x:c>
      <x:c r="E18" s="67" t="str">
        <x:v>POS PostgreSQL — Customer/PaymentOrder</x:v>
      </x:c>
      <x:c r="F18" s="67" t="str">
        <x:v>Tính/đọc công nợ theo contract PaymentOrder; ưu tiên Allocate khi có, Receive fallback dữ liệu cũ.</x:v>
      </x:c>
      <x:c r="G18" s="67" t="str">
        <x:v>admin, manager</x:v>
      </x:c>
      <x:c r="H18" s="67" t="str">
        <x:v>tests/test_payment_types.py</x:v>
      </x:c>
      <x:c r="I18" s="86" t="str">
        <x:v>Partial</x:v>
      </x:c>
      <x:c r="J18" s="67" t="str">
        <x:v>Chỉ cover resolve document type; chưa mock query/Allocate-vs-Receive end-to-end.</x:v>
      </x:c>
      <x:c r="K18" s="68" t="str">
        <x:v>server.py:471</x:v>
      </x:c>
    </x:row>
    <x:row r="19">
      <x:c r="A19" s="66" t="str">
        <x:v>TOOL-16</x:v>
      </x:c>
      <x:c r="B19" s="67" t="str">
        <x:v>Debt &amp; B2B</x:v>
      </x:c>
      <x:c r="C19" s="67" t="str">
        <x:v>get_top_bad_debts</x:v>
      </x:c>
      <x:c r="D19" s="67" t="str">
        <x:v>Lấy danh sách các đại lý có số dư nợ xấu cao nhất.</x:v>
      </x:c>
      <x:c r="E19" s="67" t="str">
        <x:v>POS PostgreSQL — Customer/PaymentOrder</x:v>
      </x:c>
      <x:c r="F19" s="67" t="str">
        <x:v>Tính/đọc công nợ theo contract PaymentOrder; ưu tiên Allocate khi có, Receive fallback dữ liệu cũ.</x:v>
      </x:c>
      <x:c r="G19" s="67" t="str">
        <x:v>admin, manager</x:v>
      </x:c>
      <x:c r="H19" s="67" t="str">
        <x:v>tests/test_payment_types.py</x:v>
      </x:c>
      <x:c r="I19" s="86" t="str">
        <x:v>Partial</x:v>
      </x:c>
      <x:c r="J19" s="67" t="str">
        <x:v>Chỉ cover resolve document type; chưa mock query/Allocate-vs-Receive end-to-end.</x:v>
      </x:c>
      <x:c r="K19" s="68" t="str">
        <x:v>server.py:479</x:v>
      </x:c>
    </x:row>
    <x:row r="20">
      <x:c r="A20" s="66" t="str">
        <x:v>TOOL-17</x:v>
      </x:c>
      <x:c r="B20" s="67" t="str">
        <x:v>Debt &amp; B2B</x:v>
      </x:c>
      <x:c r="C20" s="67" t="str">
        <x:v>get_vip_revenue_drop_alerts</x:v>
      </x:c>
      <x:c r="D20" s="67" t="str">
        <x:v>Cảnh báo sớm khách hàng VIP có doanh số sụt giảm.</x:v>
      </x:c>
      <x:c r="E20" s="67" t="str">
        <x:v>POS PostgreSQL / reporting bridge (read-only)</x:v>
      </x:c>
      <x:c r="F20" s="67" t="str">
        <x:v>Tổng hợp theo SQL tool-specific, phạm vi thời gian và store filter do server kiểm soát.</x:v>
      </x:c>
      <x:c r="G20" s="67" t="str">
        <x:v>admin, manager</x:v>
      </x:c>
      <x:c r="H20" s="67" t="str">
        <x:v>—</x:v>
      </x:c>
      <x:c r="I20" s="85" t="str">
        <x:v>Not covered</x:v>
      </x:c>
      <x:c r="J20" s="67" t="str">
        <x:v>Cần mock DB + edge cases input/empty result/store scope.</x:v>
      </x:c>
      <x:c r="K20" s="68" t="str">
        <x:v>server.py:487</x:v>
      </x:c>
    </x:row>
    <x:row r="21">
      <x:c r="A21" s="66" t="str">
        <x:v>TOOL-18</x:v>
      </x:c>
      <x:c r="B21" s="67" t="str">
        <x:v>Debt &amp; B2B</x:v>
      </x:c>
      <x:c r="C21" s="67" t="str">
        <x:v>get_telegram_mappings</x:v>
      </x:c>
      <x:c r="D21" s="67" t="str">
        <x:v>Xem danh sách nhân viên đã đăng ký nhận cảnh báo nợ qua Telegram Bot.</x:v>
      </x:c>
      <x:c r="E21" s="67" t="str">
        <x:v>POS PostgreSQL / reporting bridge (read-only)</x:v>
      </x:c>
      <x:c r="F21" s="67" t="str">
        <x:v>Tổng hợp theo SQL tool-specific, phạm vi thời gian và store filter do server kiểm soát.</x:v>
      </x:c>
      <x:c r="G21" s="67" t="str">
        <x:v>admin, manager</x:v>
      </x:c>
      <x:c r="H21" s="67" t="str">
        <x:v>—</x:v>
      </x:c>
      <x:c r="I21" s="85" t="str">
        <x:v>Not covered</x:v>
      </x:c>
      <x:c r="J21" s="67" t="str">
        <x:v>Cần mock DB + edge cases input/empty result/store scope.</x:v>
      </x:c>
      <x:c r="K21" s="68" t="str">
        <x:v>server.py:495</x:v>
      </x:c>
    </x:row>
    <x:row r="22">
      <x:c r="A22" s="66" t="str">
        <x:v>TOOL-19</x:v>
      </x:c>
      <x:c r="B22" s="67" t="str">
        <x:v>Dashboard KPI/API</x:v>
      </x:c>
      <x:c r="C22" s="67" t="str">
        <x:v>get_revenue_by_source</x:v>
      </x:c>
      <x:c r="D22" s="67" t="str">
        <x:v>[CHI TIET DOANH SO] Phan tach doanh so theo nguon: HMK vs Khac, App/Portal/System. CHI goi khi user yeu cau CU THE: 'phan tach doanh so theo nguon', 'HMK bao nhieu', 'so sanh App vs Portal', 'revenue breakdown'. KHONG DUNG cho: 'tinh hinh kinh doanh', 'tong quan', 'hom nay the nao'. Neu user hoi tong quan → goi get_tinh_hinh_kinh_doanh thay vi tool nay.</x:v>
      </x:c>
      <x:c r="E22" s="67" t="str">
        <x:v>Rocky Lens Dashboard API (read-only HTTPS)</x:v>
      </x:c>
      <x:c r="F22" s="67" t="str">
        <x:v>Forward summary.all; totalRevenue là Tổng, hmkRevenue và otherRevenue là hai cấu phần. Không tự cộng lại KPI UI.</x:v>
      </x:c>
      <x:c r="G22" s="67" t="str">
        <x:v>all roles (store-filtered where applicable)</x:v>
      </x:c>
      <x:c r="H22" s="67" t="str">
        <x:v>Dashboard API + tests/test_dashboard_api.py</x:v>
      </x:c>
      <x:c r="I22" s="87" t="str">
        <x:v>Covered (API contract)</x:v>
      </x:c>
      <x:c r="J22" s="67" t="str">
        <x:v>Được nghiệm thu theo cùng API/source-of-truth với Dashboard; cần đối soát live riêng khi Dashboard đổi contract.</x:v>
      </x:c>
      <x:c r="K22" s="68" t="str">
        <x:v>server.py:507</x:v>
      </x:c>
    </x:row>
    <x:row r="23">
      <x:c r="A23" s="66" t="str">
        <x:v>TOOL-20</x:v>
      </x:c>
      <x:c r="B23" s="67" t="str">
        <x:v>POS finance &amp; KPI</x:v>
      </x:c>
      <x:c r="C23" s="67" t="str">
        <x:v>get_revenue_legacy</x:v>
      </x:c>
      <x:c r="D23" s="67" t="str">
        <x:v>[LEGACY POS] Đối soát cohort đơn phát hành, không dùng cho KPI UI.</x:v>
      </x:c>
      <x:c r="E23" s="67" t="str">
        <x:v>POS PostgreSQL (legacy cohort)</x:v>
      </x:c>
      <x:c r="F23" s="67" t="str">
        <x:v>Đối soát cohort POS lịch sử; không thay thế chỉ tiêu Dashboard UI.</x:v>
      </x:c>
      <x:c r="G23" s="67" t="str">
        <x:v>all roles (store-filtered where applicable)</x:v>
      </x:c>
      <x:c r="H23" s="67" t="str">
        <x:v>—</x:v>
      </x:c>
      <x:c r="I23" s="85" t="str">
        <x:v>Not covered</x:v>
      </x:c>
      <x:c r="J23" s="67" t="str">
        <x:v>Cần mock DB + edge cases input/empty result/store scope.</x:v>
      </x:c>
      <x:c r="K23" s="68" t="str">
        <x:v>server.py:535</x:v>
      </x:c>
    </x:row>
    <x:row r="24">
      <x:c r="A24" s="66" t="str">
        <x:v>TOOL-21</x:v>
      </x:c>
      <x:c r="B24" s="67" t="str">
        <x:v>Dashboard KPI/API</x:v>
      </x:c>
      <x:c r="C24" s="67" t="str">
        <x:v>get_dashboard_order_overview</x:v>
      </x:c>
      <x:c r="D24" s="67" t="str">
        <x:v>[TRANG TONG QUAN] 4 KPI chinh: So don, Gia tri don, Thuc thu, Con phai thu. Nen dung get_tinh_hinh_kinh_doanh thay vi tool nay (no gom nhieu data hon). Chi dung tool nay khi can RIENG 4 KPI ma khong can staff/site breakdown. Dung relative_period (today/yesterday/this_week/last_week/this_month) de server tu chot ngay theo gio Viet Nam.</x:v>
      </x:c>
      <x:c r="E24" s="67" t="str">
        <x:v>Rocky Lens Dashboard API (read-only HTTPS)</x:v>
      </x:c>
      <x:c r="F24" s="67" t="str">
        <x:v>Forward payload từ endpoint Dashboard; range được resolve theo Asia/Ho_Chi_Minh trước khi đổi sang epoch milliseconds.</x:v>
      </x:c>
      <x:c r="G24" s="67" t="str">
        <x:v>admin, manager, bod</x:v>
      </x:c>
      <x:c r="H24" s="67" t="str">
        <x:v>Dashboard API + tests/test_dashboard_api.py</x:v>
      </x:c>
      <x:c r="I24" s="87" t="str">
        <x:v>Covered (API contract)</x:v>
      </x:c>
      <x:c r="J24" s="67" t="str">
        <x:v>Được nghiệm thu theo cùng API/source-of-truth với Dashboard; cần đối soát live riêng khi Dashboard đổi contract.</x:v>
      </x:c>
      <x:c r="K24" s="68" t="str">
        <x:v>server.py:555</x:v>
      </x:c>
    </x:row>
    <x:row r="25">
      <x:c r="A25" s="66" t="str">
        <x:v>TOOL-22</x:v>
      </x:c>
      <x:c r="B25" s="67" t="str">
        <x:v>Dashboard KPI/API</x:v>
      </x:c>
      <x:c r="C25" s="67" t="str">
        <x:v>get_tinh_hinh_kinh_doanh</x:v>
      </x:c>
      <x:c r="D25" s="67" t="str">
        <x:v>Tinh hinh kinh doanh hom nay / tong quan kinh doanh Rocky. DEFAULT TOOL — goi tool nay khi user hoi bat ky cau nao lien quan: 'tinh hinh kinh doanh', 'hom nay the nao', 'tong quan', 'overview', 'bao cao', 'so lieu hom nay', 'cho toi biet tinh hinh'. Tra ve: 4 KPI (so don, gia tri, thuc thu, con phai thu) + doanh so theo site + top nhan vien. Day la trang TONG QUAN cua Rocky Lens Dashboard.</x:v>
      </x:c>
      <x:c r="E25" s="67" t="str">
        <x:v>Rocky Lens Dashboard API (read-only HTTPS)</x:v>
      </x:c>
      <x:c r="F25" s="67" t="str">
        <x:v>Ghép raw payload Overview + BySite của Dashboard và staff ranking từ POS; Dashboard là nguồn chuẩn cho bốn KPI UI.</x:v>
      </x:c>
      <x:c r="G25" s="67" t="str">
        <x:v>admin, manager, bod</x:v>
      </x:c>
      <x:c r="H25" s="67" t="str">
        <x:v>Dashboard API + tests/test_dashboard_api.py</x:v>
      </x:c>
      <x:c r="I25" s="87" t="str">
        <x:v>Covered (API contract)</x:v>
      </x:c>
      <x:c r="J25" s="67" t="str">
        <x:v>Được nghiệm thu theo cùng API/source-of-truth với Dashboard; cần đối soát live riêng khi Dashboard đổi contract.</x:v>
      </x:c>
      <x:c r="K25" s="68" t="str">
        <x:v>server.py:588</x:v>
      </x:c>
    </x:row>
    <x:row r="26">
      <x:c r="A26" s="66" t="str">
        <x:v>TOOL-23</x:v>
      </x:c>
      <x:c r="B26" s="67" t="str">
        <x:v>Dashboard KPI/API</x:v>
      </x:c>
      <x:c r="C26" s="67" t="str">
        <x:v>get_dashboard_order_by_site</x:v>
      </x:c>
      <x:c r="D26" s="67" t="str">
        <x:v>Doanh thu theo chi nhánh theo API Dashboard và lịch Việt Nam.</x:v>
      </x:c>
      <x:c r="E26" s="67" t="str">
        <x:v>Rocky Lens Dashboard API (read-only HTTPS)</x:v>
      </x:c>
      <x:c r="F26" s="67" t="str">
        <x:v>Forward payload từ endpoint Dashboard; range được resolve theo Asia/Ho_Chi_Minh trước khi đổi sang epoch milliseconds.</x:v>
      </x:c>
      <x:c r="G26" s="67" t="str">
        <x:v>admin, manager, bod</x:v>
      </x:c>
      <x:c r="H26" s="67" t="str">
        <x:v>Dashboard API + tests/test_dashboard_api.py</x:v>
      </x:c>
      <x:c r="I26" s="87" t="str">
        <x:v>Covered (API contract)</x:v>
      </x:c>
      <x:c r="J26" s="67" t="str">
        <x:v>Được nghiệm thu theo cùng API/source-of-truth với Dashboard; cần đối soát live riêng khi Dashboard đổi contract.</x:v>
      </x:c>
      <x:c r="K26" s="68" t="str">
        <x:v>server.py:629</x:v>
      </x:c>
    </x:row>
    <x:row r="27">
      <x:c r="A27" s="66" t="str">
        <x:v>TOOL-24</x:v>
      </x:c>
      <x:c r="B27" s="67" t="str">
        <x:v>Dashboard KPI/API</x:v>
      </x:c>
      <x:c r="C27" s="67" t="str">
        <x:v>get_dashboard_revenue</x:v>
      </x:c>
      <x:c r="D27" s="67" t="str">
        <x:v>Doanh số đúng theo trang Doanh số Rocky Lens. Trả nguyên payload gồm Tổng doanh số, HMK, Khác, số đơn bán và đơn trả. Không dùng cho các KPI Thực thu/Còn phải thu ở trang Tình hình kinh doanh.</x:v>
      </x:c>
      <x:c r="E27" s="67" t="str">
        <x:v>Rocky Lens Dashboard API (read-only HTTPS)</x:v>
      </x:c>
      <x:c r="F27" s="67" t="str">
        <x:v>Forward summary.all; totalRevenue là Tổng, hmkRevenue và otherRevenue là hai cấu phần. Không tự cộng lại KPI UI.</x:v>
      </x:c>
      <x:c r="G27" s="67" t="str">
        <x:v>admin, manager, bod</x:v>
      </x:c>
      <x:c r="H27" s="67" t="str">
        <x:v>Dashboard API + tests/test_dashboard_api.py</x:v>
      </x:c>
      <x:c r="I27" s="87" t="str">
        <x:v>Covered (API contract)</x:v>
      </x:c>
      <x:c r="J27" s="67" t="str">
        <x:v>Được nghiệm thu theo cùng API/source-of-truth với Dashboard; cần đối soát live riêng khi Dashboard đổi contract.</x:v>
      </x:c>
      <x:c r="K27" s="68" t="str">
        <x:v>server.py:653</x:v>
      </x:c>
    </x:row>
    <x:row r="28">
      <x:c r="A28" s="66" t="str">
        <x:v>TOOL-25</x:v>
      </x:c>
      <x:c r="B28" s="67" t="str">
        <x:v>Dashboard KPI/API</x:v>
      </x:c>
      <x:c r="C28" s="67" t="str">
        <x:v>get_dashboard_sales_by_customer</x:v>
      </x:c>
      <x:c r="D28" s="67" t="str">
        <x:v>Doanh số khách hàng đúng theo trang Doanh số KH Rocky Lens. Tổng doanh số/số đơn/đơn trả được tính theo Top N đang chọn trên giao diện; số khách lấy từ tổng danh sách trả về bởi Dashboard API.</x:v>
      </x:c>
      <x:c r="E28" s="67" t="str">
        <x:v>Rocky Lens Dashboard API (read-only HTTPS)</x:v>
      </x:c>
      <x:c r="F28" s="67" t="str">
        <x:v>UI contract: doanh số/số đơn/đơn trả cộng theo Top N; số khách lấy meta.total, không trộn hai phạm vi.</x:v>
      </x:c>
      <x:c r="G28" s="67" t="str">
        <x:v>admin, manager, bod</x:v>
      </x:c>
      <x:c r="H28" s="67" t="str">
        <x:v>Dashboard API + tests/test_dashboard_api.py</x:v>
      </x:c>
      <x:c r="I28" s="87" t="str">
        <x:v>Covered (API contract)</x:v>
      </x:c>
      <x:c r="J28" s="67" t="str">
        <x:v>Được nghiệm thu theo cùng API/source-of-truth với Dashboard; cần đối soát live riêng khi Dashboard đổi contract.</x:v>
      </x:c>
      <x:c r="K28" s="68" t="str">
        <x:v>server.py:681</x:v>
      </x:c>
    </x:row>
    <x:row r="29">
      <x:c r="A29" s="66" t="str">
        <x:v>TOOL-26</x:v>
      </x:c>
      <x:c r="B29" s="67" t="str">
        <x:v>Dashboard KPI/API</x:v>
      </x:c>
      <x:c r="C29" s="67" t="str">
        <x:v>get_dashboard_debt_overview</x:v>
      </x:c>
      <x:c r="D29" s="67" t="str">
        <x:v>Công nợ đúng theo Rocky Lens Dashboard: số dư đầu kỳ, phát sinh, đã thu và tỷ lệ thu hồi. Dùng cho câu hỏi cần khớp giao diện Công nợ. Công nợ B2B/tra cứu POS ngoài phạm vi Dashboard vẫn dùng tool cũ get_debt.</x:v>
      </x:c>
      <x:c r="E29" s="67" t="str">
        <x:v>Rocky Lens Dashboard API (read-only HTTPS)</x:v>
      </x:c>
      <x:c r="F29" s="67" t="str">
        <x:v>Forward payload từ endpoint Dashboard; range được resolve theo Asia/Ho_Chi_Minh trước khi đổi sang epoch milliseconds.</x:v>
      </x:c>
      <x:c r="G29" s="67" t="str">
        <x:v>admin, manager, bod</x:v>
      </x:c>
      <x:c r="H29" s="67" t="str">
        <x:v>Dashboard API + tests/test_dashboard_api.py</x:v>
      </x:c>
      <x:c r="I29" s="87" t="str">
        <x:v>Covered (API contract)</x:v>
      </x:c>
      <x:c r="J29" s="67" t="str">
        <x:v>Được nghiệm thu theo cùng API/source-of-truth với Dashboard; cần đối soát live riêng khi Dashboard đổi contract.</x:v>
      </x:c>
      <x:c r="K29" s="68" t="str">
        <x:v>server.py:705</x:v>
      </x:c>
    </x:row>
    <x:row r="30">
      <x:c r="A30" s="66" t="str">
        <x:v>TOOL-27</x:v>
      </x:c>
      <x:c r="B30" s="67" t="str">
        <x:v>Dashboard KPI/API</x:v>
      </x:c>
      <x:c r="C30" s="67" t="str">
        <x:v>get_dashboard_debt_customers</x:v>
      </x:c>
      <x:c r="D30" s="67" t="str">
        <x:v>Danh sách khách công nợ phân trang đúng theo Rocky Lens Dashboard.</x:v>
      </x:c>
      <x:c r="E30" s="67" t="str">
        <x:v>Rocky Lens Dashboard API (read-only HTTPS)</x:v>
      </x:c>
      <x:c r="F30" s="67" t="str">
        <x:v>Forward payload từ endpoint Dashboard; range được resolve theo Asia/Ho_Chi_Minh trước khi đổi sang epoch milliseconds.</x:v>
      </x:c>
      <x:c r="G30" s="67" t="str">
        <x:v>admin, manager, bod</x:v>
      </x:c>
      <x:c r="H30" s="67" t="str">
        <x:v>Dashboard API + tests/test_dashboard_api.py</x:v>
      </x:c>
      <x:c r="I30" s="87" t="str">
        <x:v>Covered (API contract)</x:v>
      </x:c>
      <x:c r="J30" s="67" t="str">
        <x:v>Được nghiệm thu theo cùng API/source-of-truth với Dashboard; cần đối soát live riêng khi Dashboard đổi contract.</x:v>
      </x:c>
      <x:c r="K30" s="68" t="str">
        <x:v>server.py:730</x:v>
      </x:c>
    </x:row>
    <x:row r="31">
      <x:c r="A31" s="66" t="str">
        <x:v>TOOL-28</x:v>
      </x:c>
      <x:c r="B31" s="67" t="str">
        <x:v>Dashboard KPI/API</x:v>
      </x:c>
      <x:c r="C31" s="67" t="str">
        <x:v>get_dashboard_metric</x:v>
      </x:c>
      <x:c r="D31" s="67" t="str">
        <x:v>Đọc metric Dashboard đã allow-list, không có thao tác ghi dữ liệu. metric: order_by_time, order_by_staff, order_by_state, revenue_details, revenue_orders, revenue_return_orders, revenue_by_staff, revenue_by_staff_details, revenue_by_product, revenue_by_product_details, customer_overview, customer_by_province, customer_by_order, customer_birthday, customer_no_interaction, product_by_quantity, product_by_revenue, picker_overview, picker_average_time, picker_leaderboard, picker_heatmap, app_picker_average_time, app_picker_productivity, app_picker_completed_by_staff, app_picker_ranking.</x:v>
      </x:c>
      <x:c r="E31" s="67" t="str">
        <x:v>Rocky Lens Dashboard API (read-only HTTPS)</x:v>
      </x:c>
      <x:c r="F31" s="67" t="str">
        <x:v>Forward payload từ endpoint Dashboard; range được resolve theo Asia/Ho_Chi_Minh trước khi đổi sang epoch milliseconds.</x:v>
      </x:c>
      <x:c r="G31" s="67" t="str">
        <x:v>admin, manager, bod</x:v>
      </x:c>
      <x:c r="H31" s="67" t="str">
        <x:v>Dashboard API + tests/test_dashboard_api.py</x:v>
      </x:c>
      <x:c r="I31" s="87" t="str">
        <x:v>Covered (API contract)</x:v>
      </x:c>
      <x:c r="J31" s="67" t="str">
        <x:v>Được nghiệm thu theo cùng API/source-of-truth với Dashboard; cần đối soát live riêng khi Dashboard đổi contract.</x:v>
      </x:c>
      <x:c r="K31" s="68" t="str">
        <x:v>server.py:752</x:v>
      </x:c>
    </x:row>
    <x:row r="32">
      <x:c r="A32" s="66" t="str">
        <x:v>TOOL-29</x:v>
      </x:c>
      <x:c r="B32" s="67" t="str">
        <x:v>POS finance &amp; KPI</x:v>
      </x:c>
      <x:c r="C32" s="67" t="str">
        <x:v>get_subtotal</x:v>
      </x:c>
      <x:c r="D32" s="67" t="str">
        <x:v>Doanh số NET không ship: đơn duyệt trừ đơn trả. Đây không phải field thực thu của widget Tổng quan. Dùng relative_period hoặc date_from/date_to.</x:v>
      </x:c>
      <x:c r="E32" s="67" t="str">
        <x:v>POS PostgreSQL</x:v>
      </x:c>
      <x:c r="F32" s="67" t="str">
        <x:v>Doanh số NET hàng hóa: đơn duyệt trừ đơn trả, không gồm ship; không phải Thực thu của Overview.</x:v>
      </x:c>
      <x:c r="G32" s="67" t="str">
        <x:v>all roles (store-filtered where applicable)</x:v>
      </x:c>
      <x:c r="H32" s="67" t="str">
        <x:v>—</x:v>
      </x:c>
      <x:c r="I32" s="85" t="str">
        <x:v>Not covered</x:v>
      </x:c>
      <x:c r="J32" s="67" t="str">
        <x:v>Cần mock DB + edge cases input/empty result/store scope.</x:v>
      </x:c>
      <x:c r="K32" s="68" t="str">
        <x:v>server.py:819</x:v>
      </x:c>
    </x:row>
    <x:row r="33">
      <x:c r="A33" s="66" t="str">
        <x:v>TOOL-30</x:v>
      </x:c>
      <x:c r="B33" s="67" t="str">
        <x:v>Order operations</x:v>
      </x:c>
      <x:c r="C33" s="67" t="str">
        <x:v>get_orders</x:v>
      </x:c>
      <x:c r="D33" s="67" t="str">
        <x:v>Lấy danh sách đơn hàng. Status: completed/cancelled/processing.</x:v>
      </x:c>
      <x:c r="E33" s="67" t="str">
        <x:v>POS PostgreSQL — Order/PaymentOrder</x:v>
      </x:c>
      <x:c r="F33" s="67" t="str">
        <x:v>Tra cứu vận hành theo filter; không dùng thay cho KPI Dashboard.</x:v>
      </x:c>
      <x:c r="G33" s="67" t="str">
        <x:v>all roles (store-filtered where applicable)</x:v>
      </x:c>
      <x:c r="H33" s="67" t="str">
        <x:v>—</x:v>
      </x:c>
      <x:c r="I33" s="85" t="str">
        <x:v>Not covered</x:v>
      </x:c>
      <x:c r="J33" s="67" t="str">
        <x:v>Cần mock DB + edge cases input/empty result/store scope.</x:v>
      </x:c>
      <x:c r="K33" s="68" t="str">
        <x:v>server.py:843</x:v>
      </x:c>
    </x:row>
    <x:row r="34">
      <x:c r="A34" s="66" t="str">
        <x:v>TOOL-31</x:v>
      </x:c>
      <x:c r="B34" s="67" t="str">
        <x:v>Order operations</x:v>
      </x:c>
      <x:c r="C34" s="67" t="str">
        <x:v>get_order_operations</x:v>
      </x:c>
      <x:c r="D34" s="67" t="str">
        <x:v>Tra cứu vận hành Order: đơn tạm/xác nhận/giao/hoàn thành và các tổng tiền của màn Quản lý đơn hàng. Không dùng tool này để trả lời KPI doanh thu hoặc thực thu.</x:v>
      </x:c>
      <x:c r="E34" s="67" t="str">
        <x:v>POS PostgreSQL — Order/PaymentOrder</x:v>
      </x:c>
      <x:c r="F34" s="67" t="str">
        <x:v>Tra cứu vận hành theo filter; không dùng thay cho KPI Dashboard.</x:v>
      </x:c>
      <x:c r="G34" s="67" t="str">
        <x:v>all roles (store-filtered where applicable)</x:v>
      </x:c>
      <x:c r="H34" s="67" t="str">
        <x:v>—</x:v>
      </x:c>
      <x:c r="I34" s="85" t="str">
        <x:v>Not covered</x:v>
      </x:c>
      <x:c r="J34" s="67" t="str">
        <x:v>Cần mock DB + edge cases input/empty result/store scope.</x:v>
      </x:c>
      <x:c r="K34" s="68" t="str">
        <x:v>server.py:851</x:v>
      </x:c>
    </x:row>
    <x:row r="35">
      <x:c r="A35" s="66" t="str">
        <x:v>TOOL-32</x:v>
      </x:c>
      <x:c r="B35" s="67" t="str">
        <x:v>POS finance &amp; KPI</x:v>
      </x:c>
      <x:c r="C35" s="67" t="str">
        <x:v>get_staff_revenue</x:v>
      </x:c>
      <x:c r="D35" s="67" t="str">
        <x:v>Xếp hạng nhân viên theo tổng giá trị đơn và số đơn phát hành trong kỳ.</x:v>
      </x:c>
      <x:c r="E35" s="67" t="str">
        <x:v>POS PostgreSQL / reporting bridge (read-only)</x:v>
      </x:c>
      <x:c r="F35" s="67" t="str">
        <x:v>Tổng hợp theo SQL tool-specific, phạm vi thời gian và store filter do server kiểm soát.</x:v>
      </x:c>
      <x:c r="G35" s="67" t="str">
        <x:v>all roles (store-filtered where applicable)</x:v>
      </x:c>
      <x:c r="H35" s="67" t="str">
        <x:v>—</x:v>
      </x:c>
      <x:c r="I35" s="85" t="str">
        <x:v>Not covered</x:v>
      </x:c>
      <x:c r="J35" s="67" t="str">
        <x:v>Cần mock DB + edge cases input/empty result/store scope.</x:v>
      </x:c>
      <x:c r="K35" s="68" t="str">
        <x:v>server.py:877</x:v>
      </x:c>
    </x:row>
    <x:row r="36">
      <x:c r="A36" s="66" t="str">
        <x:v>TOOL-33</x:v>
      </x:c>
      <x:c r="B36" s="67" t="str">
        <x:v>Product analytics</x:v>
      </x:c>
      <x:c r="C36" s="67" t="str">
        <x:v>get_products</x:v>
      </x:c>
      <x:c r="D36" s="67" t="str">
        <x:v>Lấy hai xếp hạng hàng hóa theo đúng ngày: doanh số theo ProductId và số lượng theo ProductItemId.</x:v>
      </x:c>
      <x:c r="E36" s="67" t="str">
        <x:v>POS PostgreSQL — Order/OrderItem/Product/ProductItem</x:v>
      </x:c>
      <x:c r="F36" s="67" t="str">
        <x:v>Xếp hạng theo doanh số ProductId và số lượng ProductItemId; giới hạn Top N ngay trong SQL.</x:v>
      </x:c>
      <x:c r="G36" s="67" t="str">
        <x:v>all roles (store-filtered where applicable)</x:v>
      </x:c>
      <x:c r="H36" s="67" t="str">
        <x:v>tests/test_products_query.py</x:v>
      </x:c>
      <x:c r="I36" s="87" t="str">
        <x:v>Covered (unit/mock)</x:v>
      </x:c>
      <x:c r="J36" s="67" t="str">
        <x:v>Đã cover SQL ranking, Top N và mapping kết quả.</x:v>
      </x:c>
      <x:c r="K36" s="68" t="str">
        <x:v>server.py:885</x:v>
      </x:c>
    </x:row>
    <x:row r="37">
      <x:c r="A37" s="66" t="str">
        <x:v>TOOL-34</x:v>
      </x:c>
      <x:c r="B37" s="67" t="str">
        <x:v>POS finance &amp; KPI</x:v>
      </x:c>
      <x:c r="C37" s="67" t="str">
        <x:v>get_gross_net_sales</x:v>
      </x:c>
      <x:c r="D37" s="67" t="str">
        <x:v>Thống kê bóc tách doanh số gộp (Gross) và doanh số thực thu (Net).</x:v>
      </x:c>
      <x:c r="E37" s="67" t="str">
        <x:v>POS PostgreSQL / reporting bridge (read-only)</x:v>
      </x:c>
      <x:c r="F37" s="67" t="str">
        <x:v>Tổng hợp theo SQL tool-specific, phạm vi thời gian và store filter do server kiểm soát.</x:v>
      </x:c>
      <x:c r="G37" s="67" t="str">
        <x:v>all roles (store-filtered where applicable)</x:v>
      </x:c>
      <x:c r="H37" s="67" t="str">
        <x:v>—</x:v>
      </x:c>
      <x:c r="I37" s="85" t="str">
        <x:v>Not covered</x:v>
      </x:c>
      <x:c r="J37" s="67" t="str">
        <x:v>Cần mock DB + edge cases input/empty result/store scope.</x:v>
      </x:c>
      <x:c r="K37" s="68" t="str">
        <x:v>server.py:893</x:v>
      </x:c>
    </x:row>
    <x:row r="38">
      <x:c r="A38" s="66" t="str">
        <x:v>TOOL-35</x:v>
      </x:c>
      <x:c r="B38" s="67" t="str">
        <x:v>Product analytics</x:v>
      </x:c>
      <x:c r="C38" s="67" t="str">
        <x:v>get_product_industry_sales</x:v>
      </x:c>
      <x:c r="D38" s="67" t="str">
        <x:v>Phân loại doanh số hàng hóa theo nhóm ngành hàng Gọng kính (DD) và Tròng kính (DT).</x:v>
      </x:c>
      <x:c r="E38" s="67" t="str">
        <x:v>POS PostgreSQL / reporting bridge (read-only)</x:v>
      </x:c>
      <x:c r="F38" s="67" t="str">
        <x:v>Tổng hợp theo SQL tool-specific, phạm vi thời gian và store filter do server kiểm soát.</x:v>
      </x:c>
      <x:c r="G38" s="67" t="str">
        <x:v>all roles (store-filtered where applicable)</x:v>
      </x:c>
      <x:c r="H38" s="67" t="str">
        <x:v>—</x:v>
      </x:c>
      <x:c r="I38" s="85" t="str">
        <x:v>Not covered</x:v>
      </x:c>
      <x:c r="J38" s="67" t="str">
        <x:v>Cần mock DB + edge cases input/empty result/store scope.</x:v>
      </x:c>
      <x:c r="K38" s="68" t="str">
        <x:v>server.py:901</x:v>
      </x:c>
    </x:row>
    <x:row r="39">
      <x:c r="A39" s="66" t="str">
        <x:v>TOOL-36</x:v>
      </x:c>
      <x:c r="B39" s="67" t="str">
        <x:v>POS finance &amp; KPI</x:v>
      </x:c>
      <x:c r="C39" s="67" t="str">
        <x:v>get_b2b_adoption_rate</x:v>
      </x:c>
      <x:c r="D39" s="67" t="str">
        <x:v>Tính toán Adoption Rate - tỷ lệ B2B trên tổng doanh thu.</x:v>
      </x:c>
      <x:c r="E39" s="67" t="str">
        <x:v>POS PostgreSQL</x:v>
      </x:c>
      <x:c r="F39" s="67" t="str">
        <x:v>Adoption = doanh số B2B / tổng doanh số theo phạm vi lọc.</x:v>
      </x:c>
      <x:c r="G39" s="67" t="str">
        <x:v>all roles (store-filtered where applicable)</x:v>
      </x:c>
      <x:c r="H39" s="67" t="str">
        <x:v>—</x:v>
      </x:c>
      <x:c r="I39" s="85" t="str">
        <x:v>Not covered</x:v>
      </x:c>
      <x:c r="J39" s="67" t="str">
        <x:v>Cần mock DB + edge cases input/empty result/store scope.</x:v>
      </x:c>
      <x:c r="K39" s="68" t="str">
        <x:v>server.py:909</x:v>
      </x:c>
    </x:row>
    <x:row r="40">
      <x:c r="A40" s="66" t="str">
        <x:v>TOOL-37</x:v>
      </x:c>
      <x:c r="B40" s="67" t="str">
        <x:v>POS finance &amp; KPI</x:v>
      </x:c>
      <x:c r="C40" s="67" t="str">
        <x:v>get_gpm</x:v>
      </x:c>
      <x:c r="D40" s="67" t="str">
        <x:v>Tính toán Biên lợi nhuận gộp (Gross Profit Margin - GPM). Format: YYYY-MM-DD</x:v>
      </x:c>
      <x:c r="E40" s="67" t="str">
        <x:v>POS PostgreSQL</x:v>
      </x:c>
      <x:c r="F40" s="67" t="str">
        <x:v>GPM = (doanh thu net - giá vốn) / doanh thu net.</x:v>
      </x:c>
      <x:c r="G40" s="67" t="str">
        <x:v>all roles (store-filtered where applicable)</x:v>
      </x:c>
      <x:c r="H40" s="67" t="str">
        <x:v>—</x:v>
      </x:c>
      <x:c r="I40" s="85" t="str">
        <x:v>Not covered</x:v>
      </x:c>
      <x:c r="J40" s="67" t="str">
        <x:v>Cần mock DB + edge cases input/empty result/store scope.</x:v>
      </x:c>
      <x:c r="K40" s="68" t="str">
        <x:v>server.py:917</x:v>
      </x:c>
    </x:row>
    <x:row r="41">
      <x:c r="A41" s="66" t="str">
        <x:v>TOOL-38</x:v>
      </x:c>
      <x:c r="B41" s="67" t="str">
        <x:v>POS finance &amp; KPI</x:v>
      </x:c>
      <x:c r="C41" s="67" t="str">
        <x:v>get_npm</x:v>
      </x:c>
      <x:c r="D41" s="67" t="str">
        <x:v>Tính toán Biên lợi nhuận ròng proxy (Net Profit Margin Proxy). Format: YYYY-MM-DD</x:v>
      </x:c>
      <x:c r="E41" s="67" t="str">
        <x:v>POS PostgreSQL</x:v>
      </x:c>
      <x:c r="F41" s="67" t="str">
        <x:v>NPM proxy = (doanh thu - giá vốn - chi phí vận hành proxy) / doanh thu; không phải lợi nhuận kế toán cuối kỳ.</x:v>
      </x:c>
      <x:c r="G41" s="67" t="str">
        <x:v>all roles (store-filtered where applicable)</x:v>
      </x:c>
      <x:c r="H41" s="67" t="str">
        <x:v>—</x:v>
      </x:c>
      <x:c r="I41" s="85" t="str">
        <x:v>Not covered</x:v>
      </x:c>
      <x:c r="J41" s="67" t="str">
        <x:v>Cần mock DB + edge cases input/empty result/store scope.</x:v>
      </x:c>
      <x:c r="K41" s="68" t="str">
        <x:v>server.py:925</x:v>
      </x:c>
    </x:row>
    <x:row r="42">
      <x:c r="A42" s="66" t="str">
        <x:v>TOOL-39</x:v>
      </x:c>
      <x:c r="B42" s="67" t="str">
        <x:v>POS finance &amp; KPI</x:v>
      </x:c>
      <x:c r="C42" s="67" t="str">
        <x:v>get_atv</x:v>
      </x:c>
      <x:c r="D42" s="67" t="str">
        <x:v>Tính toán Giá trị đơn hàng trung bình (Average Transaction Value). Format: YYYY-MM-DD</x:v>
      </x:c>
      <x:c r="E42" s="67" t="str">
        <x:v>POS PostgreSQL</x:v>
      </x:c>
      <x:c r="F42" s="67" t="str">
        <x:v>ATV = doanh thu net / số đơn hợp lệ trong kỳ.</x:v>
      </x:c>
      <x:c r="G42" s="67" t="str">
        <x:v>all roles (store-filtered where applicable)</x:v>
      </x:c>
      <x:c r="H42" s="67" t="str">
        <x:v>—</x:v>
      </x:c>
      <x:c r="I42" s="85" t="str">
        <x:v>Not covered</x:v>
      </x:c>
      <x:c r="J42" s="67" t="str">
        <x:v>Cần mock DB + edge cases input/empty result/store scope.</x:v>
      </x:c>
      <x:c r="K42" s="68" t="str">
        <x:v>server.py:933</x:v>
      </x:c>
    </x:row>
    <x:row r="43">
      <x:c r="A43" s="66" t="str">
        <x:v>TOOL-40</x:v>
      </x:c>
      <x:c r="B43" s="67" t="str">
        <x:v>POS finance &amp; KPI</x:v>
      </x:c>
      <x:c r="C43" s="67" t="str">
        <x:v>get_upt</x:v>
      </x:c>
      <x:c r="D43" s="67" t="str">
        <x:v>Tính toán số sản phẩm trung bình mỗi đơn hàng (Units Per Transaction). Format: YYYY-MM-DD</x:v>
      </x:c>
      <x:c r="E43" s="67" t="str">
        <x:v>POS PostgreSQL</x:v>
      </x:c>
      <x:c r="F43" s="67" t="str">
        <x:v>UPT = tổng số lượng sản phẩm / số đơn hợp lệ trong kỳ.</x:v>
      </x:c>
      <x:c r="G43" s="67" t="str">
        <x:v>all roles (store-filtered where applicable)</x:v>
      </x:c>
      <x:c r="H43" s="67" t="str">
        <x:v>—</x:v>
      </x:c>
      <x:c r="I43" s="85" t="str">
        <x:v>Not covered</x:v>
      </x:c>
      <x:c r="J43" s="67" t="str">
        <x:v>Cần mock DB + edge cases input/empty result/store scope.</x:v>
      </x:c>
      <x:c r="K43" s="68" t="str">
        <x:v>server.py:941</x:v>
      </x:c>
    </x:row>
    <x:row r="44">
      <x:c r="A44" s="66" t="str">
        <x:v>TOOL-41</x:v>
      </x:c>
      <x:c r="B44" s="67" t="str">
        <x:v>POS finance &amp; KPI</x:v>
      </x:c>
      <x:c r="C44" s="67" t="str">
        <x:v>get_rps</x:v>
      </x:c>
      <x:c r="D44" s="67" t="str">
        <x:v>Tính toán doanh thu trên đầu nhân sự (Revenue per Staff - RPS). Format: YYYY-MM-DD</x:v>
      </x:c>
      <x:c r="E44" s="67" t="str">
        <x:v>POS PostgreSQL + Site/Staff</x:v>
      </x:c>
      <x:c r="F44" s="67" t="str">
        <x:v>RPS = doanh thu kỳ / số nhân sự theo contract hiện hành.</x:v>
      </x:c>
      <x:c r="G44" s="67" t="str">
        <x:v>all roles (store-filtered where applicable)</x:v>
      </x:c>
      <x:c r="H44" s="67" t="str">
        <x:v>—</x:v>
      </x:c>
      <x:c r="I44" s="85" t="str">
        <x:v>Not covered</x:v>
      </x:c>
      <x:c r="J44" s="67" t="str">
        <x:v>Cần mock DB + edge cases input/empty result/store scope.</x:v>
      </x:c>
      <x:c r="K44" s="68" t="str">
        <x:v>server.py:949</x:v>
      </x:c>
    </x:row>
    <x:row r="45">
      <x:c r="A45" s="66" t="str">
        <x:v>TOOL-42</x:v>
      </x:c>
      <x:c r="B45" s="67" t="str">
        <x:v>POS finance &amp; KPI</x:v>
      </x:c>
      <x:c r="C45" s="67" t="str">
        <x:v>get_remake_rate</x:v>
      </x:c>
      <x:c r="D45" s="67" t="str">
        <x:v>Tính toán tỷ lệ làm lại kính (Remake Rate). Format: YYYY-MM-DD</x:v>
      </x:c>
      <x:c r="E45" s="67" t="str">
        <x:v>POS PostgreSQL / reporting bridge (read-only)</x:v>
      </x:c>
      <x:c r="F45" s="67" t="str">
        <x:v>Tổng hợp theo SQL tool-specific, phạm vi thời gian và store filter do server kiểm soát.</x:v>
      </x:c>
      <x:c r="G45" s="67" t="str">
        <x:v>all roles (store-filtered where applicable)</x:v>
      </x:c>
      <x:c r="H45" s="67" t="str">
        <x:v>—</x:v>
      </x:c>
      <x:c r="I45" s="85" t="str">
        <x:v>Not covered</x:v>
      </x:c>
      <x:c r="J45" s="67" t="str">
        <x:v>Cần mock DB + edge cases input/empty result/store scope.</x:v>
      </x:c>
      <x:c r="K45" s="68" t="str">
        <x:v>server.py:957</x:v>
      </x:c>
    </x:row>
    <x:row r="46">
      <x:c r="A46" s="66" t="str">
        <x:v>TOOL-43</x:v>
      </x:c>
      <x:c r="B46" s="67" t="str">
        <x:v>Inventory &amp; fulfillment</x:v>
      </x:c>
      <x:c r="C46" s="67" t="str">
        <x:v>get_picker_leaderboard</x:v>
      </x:c>
      <x:c r="D46" s="67" t="str">
        <x:v>Bảng xếp hạng hiệu suất Picker kho (Chiến thần bốc tròng). Format: YYYY-MM-DD</x:v>
      </x:c>
      <x:c r="E46" s="67" t="str">
        <x:v>Dashboard/POS reporting store (read-only)</x:v>
      </x:c>
      <x:c r="F46" s="67" t="str">
        <x:v>Tổng hợp tồn, hàng chết hoặc năng suất picker theo contract legacy; cần đối soát WMS cho tồn live.</x:v>
      </x:c>
      <x:c r="G46" s="67" t="str">
        <x:v>all roles (store-filtered where applicable)</x:v>
      </x:c>
      <x:c r="H46" s="67" t="str">
        <x:v>—</x:v>
      </x:c>
      <x:c r="I46" s="85" t="str">
        <x:v>Not covered</x:v>
      </x:c>
      <x:c r="J46" s="67" t="str">
        <x:v>Cần mock DB + edge cases input/empty result/store scope.</x:v>
      </x:c>
      <x:c r="K46" s="68" t="str">
        <x:v>server.py:965</x:v>
      </x:c>
    </x:row>
    <x:row r="47">
      <x:c r="A47" s="66" t="str">
        <x:v>TOOL-44</x:v>
      </x:c>
      <x:c r="B47" s="67" t="str">
        <x:v>Inventory &amp; fulfillment</x:v>
      </x:c>
      <x:c r="C47" s="67" t="str">
        <x:v>get_picker_efficiency</x:v>
      </x:c>
      <x:c r="D47" s="67" t="str">
        <x:v>Hiệu suất chi tiết của Picker kho (Average Pick Time &amp; Items Per Hour). Format: YYYY-MM-DD</x:v>
      </x:c>
      <x:c r="E47" s="67" t="str">
        <x:v>Dashboard/POS reporting store (read-only)</x:v>
      </x:c>
      <x:c r="F47" s="67" t="str">
        <x:v>Tổng hợp tồn, hàng chết hoặc năng suất picker theo contract legacy; cần đối soát WMS cho tồn live.</x:v>
      </x:c>
      <x:c r="G47" s="67" t="str">
        <x:v>all roles (store-filtered where applicable)</x:v>
      </x:c>
      <x:c r="H47" s="67" t="str">
        <x:v>—</x:v>
      </x:c>
      <x:c r="I47" s="85" t="str">
        <x:v>Not covered</x:v>
      </x:c>
      <x:c r="J47" s="67" t="str">
        <x:v>Cần mock DB + edge cases input/empty result/store scope.</x:v>
      </x:c>
      <x:c r="K47" s="68" t="str">
        <x:v>server.py:973</x:v>
      </x:c>
    </x:row>
    <x:row r="48">
      <x:c r="A48" s="66" t="str">
        <x:v>TOOL-45</x:v>
      </x:c>
      <x:c r="B48" s="67" t="str">
        <x:v>Customer analytics</x:v>
      </x:c>
      <x:c r="C48" s="67" t="str">
        <x:v>get_sales_by_customer_type</x:v>
      </x:c>
      <x:c r="D48" s="67" t="str">
        <x:v>Doanh số NET theo HMK/khách lẻ, không phải thực thu Tổng quan.</x:v>
      </x:c>
      <x:c r="E48" s="67" t="str">
        <x:v>POS PostgreSQL — Customer.Type</x:v>
      </x:c>
      <x:c r="F48" s="67" t="str">
        <x:v>Phân nhóm HMK khi Customer.Type = 1, còn lại Khác; doanh số NET, không phải Thực thu.</x:v>
      </x:c>
      <x:c r="G48" s="67" t="str">
        <x:v>all roles (store-filtered where applicable)</x:v>
      </x:c>
      <x:c r="H48" s="67" t="str">
        <x:v>—</x:v>
      </x:c>
      <x:c r="I48" s="85" t="str">
        <x:v>Not covered</x:v>
      </x:c>
      <x:c r="J48" s="67" t="str">
        <x:v>Cần mock DB + edge cases input/empty result/store scope.</x:v>
      </x:c>
      <x:c r="K48" s="68" t="str">
        <x:v>server.py:981</x:v>
      </x:c>
    </x:row>
    <x:row r="49">
      <x:c r="A49" s="66" t="str">
        <x:v>TOOL-46</x:v>
      </x:c>
      <x:c r="B49" s="67" t="str">
        <x:v>Order operations</x:v>
      </x:c>
      <x:c r="C49" s="67" t="str">
        <x:v>get_return_exchange_requests</x:v>
      </x:c>
      <x:c r="D49" s="67" t="str">
        <x:v>Tra cứu yêu cầu trả/đổi hàng, trạng thái, lý do và số tiền. Ngày theo giờ Việt Nam.</x:v>
      </x:c>
      <x:c r="E49" s="67" t="str">
        <x:v>POS PostgreSQL — ReturnOrder/ReturnOrderRequest</x:v>
      </x:c>
      <x:c r="F49" s="67" t="str">
        <x:v>Trả về đối tượng vận hành thực tế hoặc yêu cầu trả/đổi theo filter ngày/trạng thái.</x:v>
      </x:c>
      <x:c r="G49" s="67" t="str">
        <x:v>all roles (store-filtered where applicable)</x:v>
      </x:c>
      <x:c r="H49" s="67" t="str">
        <x:v>—</x:v>
      </x:c>
      <x:c r="I49" s="85" t="str">
        <x:v>Not covered</x:v>
      </x:c>
      <x:c r="J49" s="67" t="str">
        <x:v>Cần mock DB + edge cases input/empty result/store scope.</x:v>
      </x:c>
      <x:c r="K49" s="68" t="str">
        <x:v>server.py:1003</x:v>
      </x:c>
    </x:row>
    <x:row r="50">
      <x:c r="A50" s="66" t="str">
        <x:v>TOOL-47</x:v>
      </x:c>
      <x:c r="B50" s="67" t="str">
        <x:v>Order operations</x:v>
      </x:c>
      <x:c r="C50" s="67" t="str">
        <x:v>get_return_orders</x:v>
      </x:c>
      <x:c r="D50" s="67" t="str">
        <x:v>Tra cứu ReturnOrder thực tế của màn Quản lý trả hàng, không phải ReturnOrderRequest.</x:v>
      </x:c>
      <x:c r="E50" s="67" t="str">
        <x:v>POS PostgreSQL — ReturnOrder/ReturnOrderRequest</x:v>
      </x:c>
      <x:c r="F50" s="67" t="str">
        <x:v>Trả về đối tượng vận hành thực tế hoặc yêu cầu trả/đổi theo filter ngày/trạng thái.</x:v>
      </x:c>
      <x:c r="G50" s="67" t="str">
        <x:v>all roles (store-filtered where applicable)</x:v>
      </x:c>
      <x:c r="H50" s="67" t="str">
        <x:v>—</x:v>
      </x:c>
      <x:c r="I50" s="85" t="str">
        <x:v>Not covered</x:v>
      </x:c>
      <x:c r="J50" s="67" t="str">
        <x:v>Cần mock DB + edge cases input/empty result/store scope.</x:v>
      </x:c>
      <x:c r="K50" s="68" t="str">
        <x:v>server.py:1024</x:v>
      </x:c>
    </x:row>
    <x:row r="51">
      <x:c r="A51" s="66" t="str">
        <x:v>TOOL-48</x:v>
      </x:c>
      <x:c r="B51" s="67" t="str">
        <x:v>Reference &amp; schema</x:v>
      </x:c>
      <x:c r="C51" s="67" t="str">
        <x:v>get_mcp_context</x:v>
      </x:c>
      <x:c r="D51" s="67" t="str">
        <x:v>Xem version, giờ Việt Nam, role và phạm vi dữ liệu của kết nối hiện tại.</x:v>
      </x:c>
      <x:c r="E51" s="67" t="str">
        <x:v>Markdown specs / dashboard schema (read-only)</x:v>
      </x:c>
      <x:c r="F51" s="67" t="str">
        <x:v>Tra cứu metadata/tài liệu, không ghi dữ liệu; SQL fallback phải mô tả bảng trước khi chạy.</x:v>
      </x:c>
      <x:c r="G51" s="67" t="str">
        <x:v>all roles (store-filtered where applicable)</x:v>
      </x:c>
      <x:c r="H51" s="67" t="str">
        <x:v>tests/test_disclaimers.py</x:v>
      </x:c>
      <x:c r="I51" s="86" t="str">
        <x:v>Partial</x:v>
      </x:c>
      <x:c r="J51" s="67" t="str">
        <x:v>Có helper disclaimer; chưa test MCP response end-to-end.</x:v>
      </x:c>
      <x:c r="K51" s="68" t="str">
        <x:v>server.py:1048</x:v>
      </x:c>
    </x:row>
    <x:row r="52">
      <x:c r="A52" s="66" t="str">
        <x:v>TOOL-49</x:v>
      </x:c>
      <x:c r="B52" s="67" t="str">
        <x:v>Reference &amp; schema</x:v>
      </x:c>
      <x:c r="C52" s="67" t="str">
        <x:v>explain</x:v>
      </x:c>
      <x:c r="D52" s="67" t="str">
        <x:v>Giải thích KPI. VD: doanh_thu, doanh_so, cong_no, order_type</x:v>
      </x:c>
      <x:c r="E52" s="67" t="str">
        <x:v>Markdown specs / dashboard schema (read-only)</x:v>
      </x:c>
      <x:c r="F52" s="67" t="str">
        <x:v>Tra cứu metadata/tài liệu, không ghi dữ liệu; SQL fallback phải mô tả bảng trước khi chạy.</x:v>
      </x:c>
      <x:c r="G52" s="67" t="str">
        <x:v>all roles (store-filtered where applicable)</x:v>
      </x:c>
      <x:c r="H52" s="67" t="str">
        <x:v>tests/test_disclaimers.py</x:v>
      </x:c>
      <x:c r="I52" s="86" t="str">
        <x:v>Partial</x:v>
      </x:c>
      <x:c r="J52" s="67" t="str">
        <x:v>Có helper disclaimer; chưa test MCP response end-to-end.</x:v>
      </x:c>
      <x:c r="K52" s="68" t="str">
        <x:v>server.py:1080</x:v>
      </x:c>
    </x:row>
    <x:row r="53">
      <x:c r="A53" s="66" t="str">
        <x:v>TOOL-50</x:v>
      </x:c>
      <x:c r="B53" s="67" t="str">
        <x:v>Reference &amp; schema</x:v>
      </x:c>
      <x:c r="C53" s="67" t="str">
        <x:v>list_tables_tool</x:v>
      </x:c>
      <x:c r="D53" s="67" t="str">
        <x:v>Liệt kê các bảng hiện có trong database dashboard.</x:v>
      </x:c>
      <x:c r="E53" s="67" t="str">
        <x:v>Markdown specs / dashboard schema (read-only)</x:v>
      </x:c>
      <x:c r="F53" s="67" t="str">
        <x:v>Tra cứu metadata/tài liệu, không ghi dữ liệu; SQL fallback phải mô tả bảng trước khi chạy.</x:v>
      </x:c>
      <x:c r="G53" s="67" t="str">
        <x:v>all roles (store-filtered where applicable)</x:v>
      </x:c>
      <x:c r="H53" s="67" t="str">
        <x:v>tests/test_schema_retrieval.py</x:v>
      </x:c>
      <x:c r="I53" s="86" t="str">
        <x:v>Partial</x:v>
      </x:c>
      <x:c r="J53" s="67" t="str">
        <x:v>Một số schema tools có coverage; list_tables/describe_table chưa có test riêng.</x:v>
      </x:c>
      <x:c r="K53" s="68" t="str">
        <x:v>server.py:1087</x:v>
      </x:c>
    </x:row>
    <x:row r="54">
      <x:c r="A54" s="66" t="str">
        <x:v>TOOL-51</x:v>
      </x:c>
      <x:c r="B54" s="67" t="str">
        <x:v>Reference &amp; schema</x:v>
      </x:c>
      <x:c r="C54" s="67" t="str">
        <x:v>describe_table_tool</x:v>
      </x:c>
      <x:c r="D54" s="67" t="str">
        <x:v>Xem cấu trúc cột và kiểu dữ liệu của một bảng cụ thể.</x:v>
      </x:c>
      <x:c r="E54" s="67" t="str">
        <x:v>Markdown specs / dashboard schema (read-only)</x:v>
      </x:c>
      <x:c r="F54" s="67" t="str">
        <x:v>Tra cứu metadata/tài liệu, không ghi dữ liệu; SQL fallback phải mô tả bảng trước khi chạy.</x:v>
      </x:c>
      <x:c r="G54" s="67" t="str">
        <x:v>all roles (store-filtered where applicable)</x:v>
      </x:c>
      <x:c r="H54" s="67" t="str">
        <x:v>tests/test_schema_retrieval.py</x:v>
      </x:c>
      <x:c r="I54" s="86" t="str">
        <x:v>Partial</x:v>
      </x:c>
      <x:c r="J54" s="67" t="str">
        <x:v>Một số schema tools có coverage; list_tables/describe_table chưa có test riêng.</x:v>
      </x:c>
      <x:c r="K54" s="68" t="str">
        <x:v>server.py:1094</x:v>
      </x:c>
    </x:row>
    <x:row r="55">
      <x:c r="A55" s="66" t="str">
        <x:v>TOOL-52</x:v>
      </x:c>
      <x:c r="B55" s="67" t="str">
        <x:v>Reference &amp; schema</x:v>
      </x:c>
      <x:c r="C55" s="67" t="str">
        <x:v>list_business_specs</x:v>
      </x:c>
      <x:c r="D55" s="67" t="str">
        <x:v>Liệt kê tất cả các file tài liệu đặc tả nghiệp vụ.</x:v>
      </x:c>
      <x:c r="E55" s="67" t="str">
        <x:v>Markdown specs / dashboard schema (read-only)</x:v>
      </x:c>
      <x:c r="F55" s="67" t="str">
        <x:v>Tra cứu metadata/tài liệu, không ghi dữ liệu; SQL fallback phải mô tả bảng trước khi chạy.</x:v>
      </x:c>
      <x:c r="G55" s="67" t="str">
        <x:v>all roles (store-filtered where applicable)</x:v>
      </x:c>
      <x:c r="H55" s="67" t="str">
        <x:v>tests/test_schema_retrieval.py</x:v>
      </x:c>
      <x:c r="I55" s="86" t="str">
        <x:v>Partial</x:v>
      </x:c>
      <x:c r="J55" s="67" t="str">
        <x:v>Một số schema tools có coverage; list_tables/describe_table chưa có test riêng.</x:v>
      </x:c>
      <x:c r="K55" s="68" t="str">
        <x:v>server.py:1101</x:v>
      </x:c>
    </x:row>
    <x:row r="56">
      <x:c r="A56" s="66" t="str">
        <x:v>TOOL-53</x:v>
      </x:c>
      <x:c r="B56" s="67" t="str">
        <x:v>Reference &amp; schema</x:v>
      </x:c>
      <x:c r="C56" s="67" t="str">
        <x:v>get_business_spec_content</x:v>
      </x:c>
      <x:c r="D56" s="67" t="str">
        <x:v>Đọc nội dung tài liệu nghiệp vụ (phân trang, mặc định 200 dòng từ line_start).</x:v>
      </x:c>
      <x:c r="E56" s="67" t="str">
        <x:v>Markdown specs / dashboard schema (read-only)</x:v>
      </x:c>
      <x:c r="F56" s="67" t="str">
        <x:v>Tra cứu metadata/tài liệu, không ghi dữ liệu; SQL fallback phải mô tả bảng trước khi chạy.</x:v>
      </x:c>
      <x:c r="G56" s="67" t="str">
        <x:v>all roles (store-filtered where applicable)</x:v>
      </x:c>
      <x:c r="H56" s="67" t="str">
        <x:v>tests/test_schema_retrieval.py</x:v>
      </x:c>
      <x:c r="I56" s="87" t="str">
        <x:v>Covered (unit)</x:v>
      </x:c>
      <x:c r="J56" s="67" t="str">
        <x:v>Đã cover input hợp lệ và chặn table name không an toàn.</x:v>
      </x:c>
      <x:c r="K56" s="68" t="str">
        <x:v>server.py:1108</x:v>
      </x:c>
    </x:row>
    <x:row r="57">
      <x:c r="A57" s="66" t="str">
        <x:v>TOOL-54</x:v>
      </x:c>
      <x:c r="B57" s="67" t="str">
        <x:v>Reference &amp; schema</x:v>
      </x:c>
      <x:c r="C57" s="67" t="str">
        <x:v>search_business_specs</x:v>
      </x:c>
      <x:c r="D57" s="67" t="str">
        <x:v>Tìm kiếm từ khóa trong tất cả tài liệu đặc tả nghiệp vụ.</x:v>
      </x:c>
      <x:c r="E57" s="67" t="str">
        <x:v>Markdown specs / dashboard schema (read-only)</x:v>
      </x:c>
      <x:c r="F57" s="67" t="str">
        <x:v>Tra cứu metadata/tài liệu, không ghi dữ liệu; SQL fallback phải mô tả bảng trước khi chạy.</x:v>
      </x:c>
      <x:c r="G57" s="67" t="str">
        <x:v>all roles (store-filtered where applicable)</x:v>
      </x:c>
      <x:c r="H57" s="67" t="str">
        <x:v>tests/test_schema_retrieval.py</x:v>
      </x:c>
      <x:c r="I57" s="86" t="str">
        <x:v>Partial</x:v>
      </x:c>
      <x:c r="J57" s="67" t="str">
        <x:v>Một số schema tools có coverage; list_tables/describe_table chưa có test riêng.</x:v>
      </x:c>
      <x:c r="K57" s="68" t="str">
        <x:v>server.py:1115</x:v>
      </x:c>
    </x:row>
    <x:row r="58">
      <x:c r="A58" s="66" t="str">
        <x:v>TOOL-55</x:v>
      </x:c>
      <x:c r="B58" s="67" t="str">
        <x:v>Reference &amp; schema</x:v>
      </x:c>
      <x:c r="C58" s="67" t="str">
        <x:v>get_schema_quick_context_tool</x:v>
      </x:c>
      <x:c r="D58" s="67" t="str">
        <x:v>Bản đồ POS schema ngắn gọn và quy tắc cần tuân thủ trước khi viết SQL fallback.</x:v>
      </x:c>
      <x:c r="E58" s="67" t="str">
        <x:v>Markdown specs / dashboard schema (read-only)</x:v>
      </x:c>
      <x:c r="F58" s="67" t="str">
        <x:v>Tra cứu metadata/tài liệu, không ghi dữ liệu; SQL fallback phải mô tả bảng trước khi chạy.</x:v>
      </x:c>
      <x:c r="G58" s="67" t="str">
        <x:v>all roles (store-filtered where applicable)</x:v>
      </x:c>
      <x:c r="H58" s="67" t="str">
        <x:v>tests/test_schema_retrieval.py</x:v>
      </x:c>
      <x:c r="I58" s="87" t="str">
        <x:v>Covered (unit)</x:v>
      </x:c>
      <x:c r="J58" s="67" t="str">
        <x:v>Đã cover input hợp lệ và chặn table name không an toàn.</x:v>
      </x:c>
      <x:c r="K58" s="68" t="str">
        <x:v>server.py:1122</x:v>
      </x:c>
    </x:row>
    <x:row r="59">
      <x:c r="A59" s="66" t="str">
        <x:v>TOOL-56</x:v>
      </x:c>
      <x:c r="B59" s="67" t="str">
        <x:v>Reference &amp; schema</x:v>
      </x:c>
      <x:c r="C59" s="67" t="str">
        <x:v>search_schema_tool</x:v>
      </x:c>
      <x:c r="D59" s="67" t="str">
        <x:v>Tìm bảng, cột, join và quy tắc nghiệp vụ trong schema Markdown; trả đoạn ngữ cảnh giới hạn.</x:v>
      </x:c>
      <x:c r="E59" s="67" t="str">
        <x:v>Markdown specs / dashboard schema (read-only)</x:v>
      </x:c>
      <x:c r="F59" s="67" t="str">
        <x:v>Tra cứu metadata/tài liệu, không ghi dữ liệu; SQL fallback phải mô tả bảng trước khi chạy.</x:v>
      </x:c>
      <x:c r="G59" s="67" t="str">
        <x:v>all roles (store-filtered where applicable)</x:v>
      </x:c>
      <x:c r="H59" s="67" t="str">
        <x:v>tests/test_schema_retrieval.py</x:v>
      </x:c>
      <x:c r="I59" s="87" t="str">
        <x:v>Covered (unit)</x:v>
      </x:c>
      <x:c r="J59" s="67" t="str">
        <x:v>Đã cover input hợp lệ và chặn table name không an toàn.</x:v>
      </x:c>
      <x:c r="K59" s="68" t="str">
        <x:v>server.py:1129</x:v>
      </x:c>
    </x:row>
    <x:row r="60">
      <x:c r="A60" s="71" t="str">
        <x:v>TOOL-57</x:v>
      </x:c>
      <x:c r="B60" s="72" t="str">
        <x:v>Reference &amp; schema</x:v>
      </x:c>
      <x:c r="C60" s="72" t="str">
        <x:v>describe_pos_table_tool</x:v>
      </x:c>
      <x:c r="D60" s="72" t="str">
        <x:v>[ADMIN] Xác minh cột và foreign key của bảng POS gốc qua information_schema, không đọc dữ liệu.</x:v>
      </x:c>
      <x:c r="E60" s="72" t="str">
        <x:v>POS information_schema (read-only)</x:v>
      </x:c>
      <x:c r="F60" s="72" t="str">
        <x:v>Tra cứu metadata/tài liệu, không ghi dữ liệu; SQL fallback phải mô tả bảng trước khi chạy.</x:v>
      </x:c>
      <x:c r="G60" s="72" t="str">
        <x:v>admin</x:v>
      </x:c>
      <x:c r="H60" s="72" t="str">
        <x:v>tests/test_schema_retrieval.py</x:v>
      </x:c>
      <x:c r="I60" s="88" t="str">
        <x:v>Covered (unit)</x:v>
      </x:c>
      <x:c r="J60" s="72" t="str">
        <x:v>Đã cover input hợp lệ và chặn table name không an toàn.</x:v>
      </x:c>
      <x:c r="K60" s="73" t="str">
        <x:v>server.py:1137</x:v>
      </x:c>
    </x:row>
  </x:sheetData>
  <x:mergeCells>
    <x:mergeCell ref="A1:K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24" hidden="0" customWidth="1"/>
    <x:col min="3" max="3" width="35" hidden="0" customWidth="1"/>
    <x:col min="4" max="4" width="55" hidden="0" customWidth="1"/>
    <x:col min="5" max="5" width="20" hidden="0" customWidth="1"/>
    <x:col min="6" max="6" width="37" hidden="0" customWidth="1"/>
    <x:col min="7" max="7" width="48" hidden="0" customWidth="1"/>
  </x:cols>
  <x:sheetData>
    <x:row r="1" ht="28" customHeight="1">
      <x:c r="A1" s="53" t="str">
        <x:v>TEST MATRIX - CASES, EVIDENCE &amp; REMAINING RISK</x:v>
      </x:c>
      <x:c r="B1" s="53" t="str">
        <x:v>TEST MATRIX - CASES, EVIDENCE &amp; REMAINING RISK</x:v>
      </x:c>
      <x:c r="C1" s="53" t="str">
        <x:v>TEST MATRIX - CASES, EVIDENCE &amp; REMAINING RISK</x:v>
      </x:c>
      <x:c r="D1" s="53" t="str">
        <x:v>TEST MATRIX - CASES, EVIDENCE &amp; REMAINING RISK</x:v>
      </x:c>
      <x:c r="E1" s="53" t="str">
        <x:v>TEST MATRIX - CASES, EVIDENCE &amp; REMAINING RISK</x:v>
      </x:c>
      <x:c r="F1" s="53" t="str">
        <x:v>TEST MATRIX - CASES, EVIDENCE &amp; REMAINING RISK</x:v>
      </x:c>
      <x:c r="G1" s="53" t="str">
        <x:v>TEST MATRIX - CASES, EVIDENCE &amp; REMAINING RISK</x:v>
      </x:c>
    </x:row>
    <x:row r="2">
      <x:c r="A2" s="54"/>
      <x:c r="B2" s="54"/>
      <x:c r="C2" s="54"/>
      <x:c r="D2" s="54"/>
      <x:c r="E2" s="54"/>
      <x:c r="F2" s="54"/>
      <x:c r="G2" s="54"/>
    </x:row>
    <x:row r="3">
      <x:c r="A3" s="56" t="str">
        <x:v>Test ID</x:v>
      </x:c>
      <x:c r="B3" s="56" t="str">
        <x:v>Nhóm</x:v>
      </x:c>
      <x:c r="C3" s="56" t="str">
        <x:v>Mục tiêu</x:v>
      </x:c>
      <x:c r="D3" s="56" t="str">
        <x:v>Các tình huống cần cover</x:v>
      </x:c>
      <x:c r="E3" s="56" t="str">
        <x:v>Coverage test (không phải trạng thái chạy)</x:v>
      </x:c>
      <x:c r="F3" s="56" t="str">
        <x:v>Evidence</x:v>
      </x:c>
      <x:c r="G3" s="56" t="str">
        <x:v>Việc còn lại / tiêu chí PASS</x:v>
      </x:c>
    </x:row>
    <x:row r="4">
      <x:c r="A4" s="61" t="str">
        <x:v>TC-01</x:v>
      </x:c>
      <x:c r="B4" s="62" t="str">
        <x:v>Auth &amp; scope</x:v>
      </x:c>
      <x:c r="C4" s="62" t="str">
        <x:v>Đăng nhập SQLite/OAuth, role BOD, store scope</x:v>
      </x:c>
      <x:c r="D4" s="62" t="str">
        <x:v>Unauthorized 401; BOD bị chặn tool ngoài allow-list; manager chỉ scope store</x:v>
      </x:c>
      <x:c r="E4" s="89" t="str">
        <x:v>Partial</x:v>
      </x:c>
      <x:c r="F4" s="62" t="str">
        <x:v>tests/test_local_auth_bod.py + scripts/test_bod_permissions.py</x:v>
      </x:c>
      <x:c r="G4" s="63" t="str">
        <x:v>Cần CI chạy smoke HTTP với các role thật</x:v>
      </x:c>
    </x:row>
    <x:row r="5">
      <x:c r="A5" s="66" t="str">
        <x:v>TC-02</x:v>
      </x:c>
      <x:c r="B5" s="67" t="str">
        <x:v>Dashboard overview</x:v>
      </x:c>
      <x:c r="C5" s="67" t="str">
        <x:v>4 KPI đúng payload giao diện</x:v>
      </x:c>
      <x:c r="D5" s="67" t="str">
        <x:v>Ngày VN, site filter, staff filter, API lỗi</x:v>
      </x:c>
      <x:c r="E5" s="87" t="str">
        <x:v>Covered (API contract)</x:v>
      </x:c>
      <x:c r="F5" s="67" t="str">
        <x:v>Dashboard API + tests/test_dashboard_api.py</x:v>
      </x:c>
      <x:c r="G5" s="68" t="str">
        <x:v>Cùng source-of-truth Dashboard; theo dõi khi API đổi contract</x:v>
      </x:c>
    </x:row>
    <x:row r="6">
      <x:c r="A6" s="66" t="str">
        <x:v>TC-03</x:v>
      </x:c>
      <x:c r="B6" s="67" t="str">
        <x:v>Dashboard revenue</x:v>
      </x:c>
      <x:c r="C6" s="67" t="str">
        <x:v>Tổng = HMK + Khác theo summary.all</x:v>
      </x:c>
      <x:c r="D6" s="67" t="str">
        <x:v>today/week/custom range, return order, site scope</x:v>
      </x:c>
      <x:c r="E6" s="87" t="str">
        <x:v>Covered (API contract)</x:v>
      </x:c>
      <x:c r="F6" s="67" t="str">
        <x:v>Dashboard API + tests/test_dashboard_api.py</x:v>
      </x:c>
      <x:c r="G6" s="68" t="str">
        <x:v>Cùng source-of-truth Dashboard; theo dõi khi API đổi contract</x:v>
      </x:c>
    </x:row>
    <x:row r="7">
      <x:c r="A7" s="66" t="str">
        <x:v>TC-04</x:v>
      </x:c>
      <x:c r="B7" s="67" t="str">
        <x:v>Customer sales</x:v>
      </x:c>
      <x:c r="C7" s="67" t="str">
        <x:v>Top N và total customer tách phạm vi</x:v>
      </x:c>
      <x:c r="D7" s="67" t="str">
        <x:v>top_n=1/10/100, pagination, zero rows</x:v>
      </x:c>
      <x:c r="E7" s="87" t="str">
        <x:v>Covered (API contract)</x:v>
      </x:c>
      <x:c r="F7" s="67" t="str">
        <x:v>Dashboard API + tests/test_dashboard_api.py</x:v>
      </x:c>
      <x:c r="G7" s="68" t="str">
        <x:v>Cùng source-of-truth Dashboard; theo dõi khi API đổi contract</x:v>
      </x:c>
    </x:row>
    <x:row r="8">
      <x:c r="A8" s="66" t="str">
        <x:v>TC-05</x:v>
      </x:c>
      <x:c r="B8" s="67" t="str">
        <x:v>Dashboard metric</x:v>
      </x:c>
      <x:c r="C8" s="67" t="str">
        <x:v>25 metric allow-list</x:v>
      </x:c>
      <x:c r="D8" s="67" t="str">
        <x:v>metric invalid, paging invalid, từng endpoint</x:v>
      </x:c>
      <x:c r="E8" s="87" t="str">
        <x:v>Covered (API contract)</x:v>
      </x:c>
      <x:c r="F8" s="67" t="str">
        <x:v>Dashboard API + tests/test_dashboard_api.py</x:v>
      </x:c>
      <x:c r="G8" s="68" t="str">
        <x:v>Cùng source-of-truth Dashboard; theo dõi khi API đổi contract</x:v>
      </x:c>
    </x:row>
    <x:row r="9">
      <x:c r="A9" s="66" t="str">
        <x:v>TC-06</x:v>
      </x:c>
      <x:c r="B9" s="67" t="str">
        <x:v>Dashboard by site/debt customer</x:v>
      </x:c>
      <x:c r="C9" s="67" t="str">
        <x:v>Payload, filter và pagination</x:v>
      </x:c>
      <x:c r="D9" s="67" t="str">
        <x:v>siteIds, customerIds, page/size, API 4xx</x:v>
      </x:c>
      <x:c r="E9" s="87" t="str">
        <x:v>Covered (API contract)</x:v>
      </x:c>
      <x:c r="F9" s="67" t="str">
        <x:v>Dashboard API + tests/test_dashboard_api.py</x:v>
      </x:c>
      <x:c r="G9" s="68" t="str">
        <x:v>Cùng source-of-truth Dashboard; theo dõi khi API đổi contract</x:v>
      </x:c>
    </x:row>
    <x:row r="10">
      <x:c r="A10" s="66" t="str">
        <x:v>TC-07</x:v>
      </x:c>
      <x:c r="B10" s="67" t="str">
        <x:v>Payment contract</x:v>
      </x:c>
      <x:c r="C10" s="67" t="str">
        <x:v>Allocate ưu tiên; Receive fallback data cũ</x:v>
      </x:c>
      <x:c r="D10" s="67" t="str">
        <x:v>Allocate/Receive/invalid document type, range exclusive</x:v>
      </x:c>
      <x:c r="E10" s="86" t="str">
        <x:v>Partial</x:v>
      </x:c>
      <x:c r="F10" s="67" t="str">
        <x:v>tests/test_payment_types.py; tests/test_validate_payment_document_type_switch.py</x:v>
      </x:c>
      <x:c r="G10" s="68" t="str">
        <x:v>Thiếu DB fixture với đơn cũ/mới</x:v>
      </x:c>
    </x:row>
    <x:row r="11">
      <x:c r="A11" s="66" t="str">
        <x:v>TC-08</x:v>
      </x:c>
      <x:c r="B11" s="67" t="str">
        <x:v>POS order/return</x:v>
      </x:c>
      <x:c r="C11" s="67" t="str">
        <x:v>Đơn và trả hàng vận hành</x:v>
      </x:c>
      <x:c r="D11" s="67" t="str">
        <x:v>date_field/state/code/customer, cancelled, paging</x:v>
      </x:c>
      <x:c r="E11" s="85" t="str">
        <x:v>Not covered</x:v>
      </x:c>
      <x:c r="F11" s="67" t="str">
        <x:v>—</x:v>
      </x:c>
      <x:c r="G11" s="68" t="str">
        <x:v>Cần fixture POS và expected totals</x:v>
      </x:c>
    </x:row>
    <x:row r="12">
      <x:c r="A12" s="66" t="str">
        <x:v>TC-09</x:v>
      </x:c>
      <x:c r="B12" s="67" t="str">
        <x:v>POS finance KPI</x:v>
      </x:c>
      <x:c r="C12" s="67" t="str">
        <x:v>Subtotal/GPM/NPM/ATV/UPT/RPS</x:v>
      </x:c>
      <x:c r="D12" s="67" t="str">
        <x:v>zero denominator, return, ship, deleted/cancelled, store filter</x:v>
      </x:c>
      <x:c r="E12" s="85" t="str">
        <x:v>Not covered</x:v>
      </x:c>
      <x:c r="F12" s="67" t="str">
        <x:v>—</x:v>
      </x:c>
      <x:c r="G12" s="68" t="str">
        <x:v>Cần golden dataset và reconciliation</x:v>
      </x:c>
    </x:row>
    <x:row r="13">
      <x:c r="A13" s="66" t="str">
        <x:v>TC-10</x:v>
      </x:c>
      <x:c r="B13" s="67" t="str">
        <x:v>Product analytics</x:v>
      </x:c>
      <x:c r="C13" s="67" t="str">
        <x:v>Top revenue &amp; quantity</x:v>
      </x:c>
      <x:c r="D13" s="67" t="str">
        <x:v>Top N, ties, missing product item</x:v>
      </x:c>
      <x:c r="E13" s="87" t="str">
        <x:v>Covered (mock)</x:v>
      </x:c>
      <x:c r="F13" s="67" t="str">
        <x:v>tests/test_products_query.py</x:v>
      </x:c>
      <x:c r="G13" s="68" t="str">
        <x:v>Cần live POS reconciliation</x:v>
      </x:c>
    </x:row>
    <x:row r="14">
      <x:c r="A14" s="66" t="str">
        <x:v>TC-11</x:v>
      </x:c>
      <x:c r="B14" s="67" t="str">
        <x:v>Customer &amp; debt</x:v>
      </x:c>
      <x:c r="C14" s="67" t="str">
        <x:v>RFM, B2B, debt alerts</x:v>
      </x:c>
      <x:c r="D14" s="67" t="str">
        <x:v>empty customer, negative balance, top limit</x:v>
      </x:c>
      <x:c r="E14" s="85" t="str">
        <x:v>Not covered</x:v>
      </x:c>
      <x:c r="F14" s="67" t="str">
        <x:v>—</x:v>
      </x:c>
      <x:c r="G14" s="68" t="str">
        <x:v>Cần mock POS + privacy/scope tests</x:v>
      </x:c>
    </x:row>
    <x:row r="15">
      <x:c r="A15" s="66" t="str">
        <x:v>TC-12</x:v>
      </x:c>
      <x:c r="B15" s="67" t="str">
        <x:v>WMS inventory</x:v>
      </x:c>
      <x:c r="C15" s="67" t="str">
        <x:v>Kho live/movement/delivery</x:v>
      </x:c>
      <x:c r="D15" s="67" t="str">
        <x:v>WMS timeout, fallback cache, low stock, cancelled movement</x:v>
      </x:c>
      <x:c r="E15" s="85" t="str">
        <x:v>Not covered</x:v>
      </x:c>
      <x:c r="F15" s="67" t="str">
        <x:v>—</x:v>
      </x:c>
      <x:c r="G15" s="68" t="str">
        <x:v>Cần fixture WMS + staging smoke</x:v>
      </x:c>
    </x:row>
    <x:row r="16">
      <x:c r="A16" s="66" t="str">
        <x:v>TC-13</x:v>
      </x:c>
      <x:c r="B16" s="67" t="str">
        <x:v>Raw SQL</x:v>
      </x:c>
      <x:c r="C16" s="67" t="str">
        <x:v>Read-only safety</x:v>
      </x:c>
      <x:c r="D16" s="67" t="str">
        <x:v>non-SELECT, multi statement, sensitive table, timeout</x:v>
      </x:c>
      <x:c r="E16" s="85" t="str">
        <x:v>Not covered</x:v>
      </x:c>
      <x:c r="F16" s="67" t="str">
        <x:v>—</x:v>
      </x:c>
      <x:c r="G16" s="68" t="str">
        <x:v>P0 security coverage trước mở rộng quyền</x:v>
      </x:c>
    </x:row>
    <x:row r="17">
      <x:c r="A17" s="66" t="str">
        <x:v>TC-14</x:v>
      </x:c>
      <x:c r="B17" s="67" t="str">
        <x:v>Schema retrieval</x:v>
      </x:c>
      <x:c r="C17" s="67" t="str">
        <x:v>Search spec / safe table describe</x:v>
      </x:c>
      <x:c r="D17" s="67" t="str">
        <x:v>unsafe table name, max results, file paging</x:v>
      </x:c>
      <x:c r="E17" s="87" t="str">
        <x:v>Covered (unit)</x:v>
      </x:c>
      <x:c r="F17" s="67" t="str">
        <x:v>tests/test_schema_retrieval.py</x:v>
      </x:c>
      <x:c r="G17" s="68" t="str">
        <x:v>Bổ sung list_tables/describe_table mock</x:v>
      </x:c>
    </x:row>
    <x:row r="18">
      <x:c r="A18" s="66" t="str">
        <x:v>TC-15</x:v>
      </x:c>
      <x:c r="B18" s="67" t="str">
        <x:v>Disclaimer</x:v>
      </x:c>
      <x:c r="C18" s="67" t="str">
        <x:v>Cảnh báo theo nguồn</x:v>
      </x:c>
      <x:c r="D18" s="67" t="str">
        <x:v>Dashboard/WMS/legacy/raw/default output</x:v>
      </x:c>
      <x:c r="E18" s="87" t="str">
        <x:v>Covered (unit)</x:v>
      </x:c>
      <x:c r="F18" s="67" t="str">
        <x:v>tests/test_disclaimers.py</x:v>
      </x:c>
      <x:c r="G18" s="68" t="str">
        <x:v>Cần E2E assert wrapper inject disclaimer</x:v>
      </x:c>
    </x:row>
    <x:row r="19">
      <x:c r="A19" s="71" t="str">
        <x:v>TC-16</x:v>
      </x:c>
      <x:c r="B19" s="72" t="str">
        <x:v>Telegram reminder</x:v>
      </x:c>
      <x:c r="C19" s="72" t="str">
        <x:v>Không gửi nhầm / không trùng</x:v>
      </x:c>
      <x:c r="D19" s="72" t="str">
        <x:v>no token, no mapping, failure, retry/idempotency</x:v>
      </x:c>
      <x:c r="E19" s="90" t="str">
        <x:v>Not covered</x:v>
      </x:c>
      <x:c r="F19" s="72" t="str">
        <x:v>—</x:v>
      </x:c>
      <x:c r="G19" s="73" t="str">
        <x:v>Cần fake Telegram tuyệt đối không test trên prod</x:v>
      </x:c>
    </x:row>
  </x:sheetData>
  <x:mergeCells>
    <x:mergeCell ref="A1:G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3" hidden="0" customWidth="1"/>
    <x:col min="2" max="2" width="38" hidden="0" customWidth="1"/>
    <x:col min="3" max="3" width="42" hidden="0" customWidth="1"/>
    <x:col min="4" max="4" width="74" hidden="0" customWidth="1"/>
    <x:col min="5" max="5" width="48" hidden="0" customWidth="1"/>
  </x:cols>
  <x:sheetData>
    <x:row r="1" ht="28" customHeight="1">
      <x:c r="A1" s="53" t="str">
        <x:v>DATA SOURCE &amp; CALCULATION CONTRACT</x:v>
      </x:c>
      <x:c r="B1" s="53" t="str">
        <x:v>DATA SOURCE &amp; CALCULATION CONTRACT</x:v>
      </x:c>
      <x:c r="C1" s="53" t="str">
        <x:v>DATA SOURCE &amp; CALCULATION CONTRACT</x:v>
      </x:c>
      <x:c r="D1" s="53" t="str">
        <x:v>DATA SOURCE &amp; CALCULATION CONTRACT</x:v>
      </x:c>
      <x:c r="E1" s="53" t="str">
        <x:v>DATA SOURCE &amp; CALCULATION CONTRACT</x:v>
      </x:c>
    </x:row>
    <x:row r="2">
      <x:c r="A2" s="54"/>
      <x:c r="B2" s="54"/>
      <x:c r="C2" s="54"/>
      <x:c r="D2" s="54"/>
      <x:c r="E2" s="54"/>
    </x:row>
    <x:row r="3">
      <x:c r="A3" s="56" t="str">
        <x:v>Domain</x:v>
      </x:c>
      <x:c r="B3" s="56" t="str">
        <x:v>Nguồn chuẩn</x:v>
      </x:c>
      <x:c r="C3" s="56" t="str">
        <x:v>Tool liên quan</x:v>
      </x:c>
      <x:c r="D3" s="56" t="str">
        <x:v>Cách lấy / tính</x:v>
      </x:c>
      <x:c r="E3" s="56" t="str">
        <x:v>Lưu ý đối soát</x:v>
      </x:c>
    </x:row>
    <x:row r="4">
      <x:c r="A4" s="61" t="str">
        <x:v>Dashboard KPI</x:v>
      </x:c>
      <x:c r="B4" s="62" t="str">
        <x:v>Rocky Lens Dashboard API</x:v>
      </x:c>
      <x:c r="C4" s="62" t="str">
        <x:v>get_dashboard_*</x:v>
      </x:c>
      <x:c r="D4" s="62" t="str">
        <x:v>Raw UI payload. Range Asia/Ho_Chi_Minh -&gt; startAt/endAt epoch. Không tự tính lại KPI UI.</x:v>
      </x:c>
      <x:c r="E4" s="63" t="str">
        <x:v>Dashboard API is source of truth for UI; snapshot only.</x:v>
      </x:c>
    </x:row>
    <x:row r="5">
      <x:c r="A5" s="66" t="str">
        <x:v>Dashboard revenue</x:v>
      </x:c>
      <x:c r="B5" s="67" t="str">
        <x:v>Dashboard /Admin/Dashboard/Revenue</x:v>
      </x:c>
      <x:c r="C5" s="67" t="str">
        <x:v>get_dashboard_revenue, get_revenue_by_source</x:v>
      </x:c>
      <x:c r="D5" s="67" t="str">
        <x:v>summary.all.totalRevenue; hmkRevenue; otherRevenue. Tổng là phạm vi all, bao gồm HMK + Khác.</x:v>
      </x:c>
      <x:c r="E5" s="68" t="str">
        <x:v>Không dùng cho Thực thu/Còn phải thu Overview.</x:v>
      </x:c>
    </x:row>
    <x:row r="6">
      <x:c r="A6" s="66" t="str">
        <x:v>Dashboard customer sales</x:v>
      </x:c>
      <x:c r="B6" s="67" t="str">
        <x:v>Dashboard /Revenue/SalesByCustomer</x:v>
      </x:c>
      <x:c r="C6" s="67" t="str">
        <x:v>get_dashboard_sales_by_customer</x:v>
      </x:c>
      <x:c r="D6" s="67" t="str">
        <x:v>Tổng doanh số/số đơn/đơn trả = sum Top N rows; số khách = meta.total.</x:v>
      </x:c>
      <x:c r="E6" s="68" t="str">
        <x:v>Không trộn Top N với tổng toàn bộ khách.</x:v>
      </x:c>
    </x:row>
    <x:row r="7">
      <x:c r="A7" s="66" t="str">
        <x:v>Payment collection</x:v>
      </x:c>
      <x:c r="B7" s="67" t="str">
        <x:v>POS PaymentOrder</x:v>
      </x:c>
      <x:c r="C7" s="67" t="str">
        <x:v>Debt / revenue legacy</x:v>
      </x:c>
      <x:c r="D7" s="67" t="str">
        <x:v>Allocate ưu tiên với dữ liệu đã cập nhật; Receive fallback cho đơn cũ. Range end exclusive khi validate.</x:v>
      </x:c>
      <x:c r="E7" s="68" t="str">
        <x:v>Cần fixture DB cho cả hai thế hệ dữ liệu.</x:v>
      </x:c>
    </x:row>
    <x:row r="8">
      <x:c r="A8" s="66" t="str">
        <x:v>POS net sales</x:v>
      </x:c>
      <x:c r="B8" s="67" t="str">
        <x:v>POS Order/ReturnOrder/OrderItem</x:v>
      </x:c>
      <x:c r="C8" s="67" t="str">
        <x:v>get_subtotal, get_sales_by_customer_type</x:v>
      </x:c>
      <x:c r="D8" s="67" t="str">
        <x:v>Đơn hợp lệ trừ đơn trả; không gồm ship đối với subtotal.</x:v>
      </x:c>
      <x:c r="E8" s="68" t="str">
        <x:v>Không phải KPI Thực thu Dashboard.</x:v>
      </x:c>
    </x:row>
    <x:row r="9">
      <x:c r="A9" s="66" t="str">
        <x:v>Profit KPI</x:v>
      </x:c>
      <x:c r="B9" s="67" t="str">
        <x:v>POS Order/OrderItem</x:v>
      </x:c>
      <x:c r="C9" s="67" t="str">
        <x:v>get_gpm, get_npm</x:v>
      </x:c>
      <x:c r="D9" s="67" t="str">
        <x:v>GPM=(revenue-cogs)/revenue. NPM là proxy sau OPEX proxy, không phải P&amp;L chính thức.</x:v>
      </x:c>
      <x:c r="E9" s="68" t="str">
        <x:v>Cần Finance xác nhận trước khi dùng quyết định tài chính.</x:v>
      </x:c>
    </x:row>
    <x:row r="10">
      <x:c r="A10" s="66" t="str">
        <x:v>Operational orders</x:v>
      </x:c>
      <x:c r="B10" s="67" t="str">
        <x:v>POS Order/ReturnOrder/ReturnOrderRequest</x:v>
      </x:c>
      <x:c r="C10" s="67" t="str">
        <x:v>get_orders, get_order_operations, get_return_*</x:v>
      </x:c>
      <x:c r="D10" s="67" t="str">
        <x:v>Lọc theo date field/state/code/customer; trả chi tiết vận hành.</x:v>
      </x:c>
      <x:c r="E10" s="68" t="str">
        <x:v>Không thay thế KPI revenue.</x:v>
      </x:c>
    </x:row>
    <x:row r="11">
      <x:c r="A11" s="66" t="str">
        <x:v>Product ranking</x:v>
      </x:c>
      <x:c r="B11" s="67" t="str">
        <x:v>POS OrderItem/Product/ProductItem</x:v>
      </x:c>
      <x:c r="C11" s="67" t="str">
        <x:v>get_products</x:v>
      </x:c>
      <x:c r="D11" s="67" t="str">
        <x:v>ROW_NUMBER + grouping sets; rank doanh số theo ProductId và số lượng theo ProductItemId.</x:v>
      </x:c>
      <x:c r="E11" s="68" t="str">
        <x:v>Đã có unit mock.</x:v>
      </x:c>
    </x:row>
    <x:row r="12">
      <x:c r="A12" s="66" t="str">
        <x:v>WMS live</x:v>
      </x:c>
      <x:c r="B12" s="67" t="str">
        <x:v>WMS ProductItemWarehouseInventory + movements</x:v>
      </x:c>
      <x:c r="C12" s="67" t="str">
        <x:v>get_inventory_live, get_inventory_movements, get_outbound_deliveries</x:v>
      </x:c>
      <x:c r="D12" s="67" t="str">
        <x:v>Snapshot tồn ProductItem × Warehouse; movements theo ngày/status; live query có fallback cache.</x:v>
      </x:c>
      <x:c r="E12" s="68" t="str">
        <x:v>Chốt kho phải đối chiếu chứng từ/kiểm kê.</x:v>
      </x:c>
    </x:row>
    <x:row r="13">
      <x:c r="A13" s="71" t="str">
        <x:v>Schema/reference</x:v>
      </x:c>
      <x:c r="B13" s="72" t="str">
        <x:v>Specs Markdown / information_schema</x:v>
      </x:c>
      <x:c r="C13" s="72" t="str">
        <x:v>search_schema_tool, describe_pos_table_tool</x:v>
      </x:c>
      <x:c r="D13" s="72" t="str">
        <x:v>Search giới hạn kết quả; describe validates table name before querying metadata.</x:v>
      </x:c>
      <x:c r="E13" s="73" t="str">
        <x:v>Không đọc/ghi dữ liệu nghiệp vụ.</x:v>
      </x:c>
    </x:row>
  </x:sheetData>
  <x:mergeCells>
    <x:mergeCell ref="A1:E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3" hidden="0" customWidth="1"/>
    <x:col min="2" max="2" width="28" hidden="0" customWidth="1"/>
    <x:col min="3" max="3" width="62" hidden="0" customWidth="1"/>
    <x:col min="4" max="4" width="68" hidden="0" customWidth="1"/>
    <x:col min="5" max="5" width="27" hidden="0" customWidth="1"/>
  </x:cols>
  <x:sheetData>
    <x:row r="1" ht="28" customHeight="1">
      <x:c r="A1" s="53" t="str">
        <x:v>GAPS &amp; NEXT STEPS - TECHNICAL UAT BACKLOG</x:v>
      </x:c>
      <x:c r="B1" s="53" t="str">
        <x:v>GAPS &amp; NEXT STEPS - TECHNICAL UAT BACKLOG</x:v>
      </x:c>
      <x:c r="C1" s="53" t="str">
        <x:v>GAPS &amp; NEXT STEPS - TECHNICAL UAT BACKLOG</x:v>
      </x:c>
      <x:c r="D1" s="53" t="str">
        <x:v>GAPS &amp; NEXT STEPS - TECHNICAL UAT BACKLOG</x:v>
      </x:c>
      <x:c r="E1" s="53" t="str">
        <x:v>GAPS &amp; NEXT STEPS - TECHNICAL UAT BACKLOG</x:v>
      </x:c>
    </x:row>
    <x:row r="2">
      <x:c r="A2" s="54"/>
      <x:c r="B2" s="54"/>
      <x:c r="C2" s="54"/>
      <x:c r="D2" s="54"/>
      <x:c r="E2" s="54"/>
    </x:row>
    <x:row r="3">
      <x:c r="A3" s="56" t="str">
        <x:v>Priority</x:v>
      </x:c>
      <x:c r="B3" s="56" t="str">
        <x:v>Hạng mục</x:v>
      </x:c>
      <x:c r="C3" s="56" t="str">
        <x:v>Gap hiện tại</x:v>
      </x:c>
      <x:c r="D3" s="56" t="str">
        <x:v>Hành động cần làm</x:v>
      </x:c>
      <x:c r="E3" s="56" t="str">
        <x:v>Mốc nghiệm thu</x:v>
      </x:c>
    </x:row>
    <x:row r="4">
      <x:c r="A4" s="61" t="str">
        <x:v>P0</x:v>
      </x:c>
      <x:c r="B4" s="62" t="str">
        <x:v>Raw SQL safety</x:v>
      </x:c>
      <x:c r="C4" s="62" t="str">
        <x:v>Không có test chặn non-SELECT, multi-statement, timeout, sensitive tables và role enforcement.</x:v>
      </x:c>
      <x:c r="D4" s="62" t="str">
        <x:v>Thêm fixture/mock cho Dashboard/POS/WMS; test 401/403 và SQL injection patterns.</x:v>
      </x:c>
      <x:c r="E4" s="63" t="str">
        <x:v>Trước khi mở thêm quyền raw SQL</x:v>
      </x:c>
    </x:row>
    <x:row r="5">
      <x:c r="A5" s="66" t="str">
        <x:v>P0</x:v>
      </x:c>
      <x:c r="B5" s="67" t="str">
        <x:v>WMS</x:v>
      </x:c>
      <x:c r="C5" s="67" t="str">
        <x:v>Chưa có unit test cho live query, fallback cache hoặc movement/cancelled status.</x:v>
      </x:c>
      <x:c r="D5" s="67" t="str">
        <x:v>Tạo WMS fixture nhỏ; test inventory âm, zero, fallback và low_stock_only.</x:v>
      </x:c>
      <x:c r="E5" s="68" t="str">
        <x:v>Trước UAT kho</x:v>
      </x:c>
    </x:row>
    <x:row r="6">
      <x:c r="A6" s="66" t="str">
        <x:v>P1</x:v>
      </x:c>
      <x:c r="B6" s="67" t="str">
        <x:v>Financial reconciliation</x:v>
      </x:c>
      <x:c r="C6" s="67" t="str">
        <x:v>Subtotal/GPM/NPM/ATV/UPT/RPS chưa có golden dataset hoặc UI reconciliation tự động.</x:v>
      </x:c>
      <x:c r="D6" s="67" t="str">
        <x:v>Tạo bộ dữ liệu chuẩn có ship, return, cancel, delete, Allocate/Receive; xác nhận cùng Finance.</x:v>
      </x:c>
      <x:c r="E6" s="68" t="str">
        <x:v>Trước báo cáo BOD/Finance</x:v>
      </x:c>
    </x:row>
    <x:row r="7">
      <x:c r="A7" s="66" t="str">
        <x:v>P1</x:v>
      </x:c>
      <x:c r="B7" s="67" t="str">
        <x:v>Dashboard live contract</x:v>
      </x:c>
      <x:c r="C7" s="67" t="str">
        <x:v>Adapter mock có coverage nhưng chưa snapshot test với Dashboard staging/live read-only.</x:v>
      </x:c>
      <x:c r="D7" s="67" t="str">
        <x:v>Chạy staging smoke theo ngày/tuần/tháng và đối chiếu screenshot/UI export.</x:v>
      </x:c>
      <x:c r="E7" s="68" t="str">
        <x:v>Mỗi release Dashboard</x:v>
      </x:c>
    </x:row>
    <x:row r="8">
      <x:c r="A8" s="66" t="str">
        <x:v>P1</x:v>
      </x:c>
      <x:c r="B8" s="67" t="str">
        <x:v>Order/return operations</x:v>
      </x:c>
      <x:c r="C8" s="67" t="str">
        <x:v>Chưa có test filter, timezone, paging, return/exchange distinction.</x:v>
      </x:c>
      <x:c r="D8" s="67" t="str">
        <x:v>Fixture POS + data table kỳ vọng cho từng date_field/state.</x:v>
      </x:c>
      <x:c r="E8" s="68" t="str">
        <x:v>Trước UAT vận hành</x:v>
      </x:c>
    </x:row>
    <x:row r="9">
      <x:c r="A9" s="66" t="str">
        <x:v>P1</x:v>
      </x:c>
      <x:c r="B9" s="67" t="str">
        <x:v>Telegram</x:v>
      </x:c>
      <x:c r="C9" s="67" t="str">
        <x:v>Tool có side effect nhưng chưa fake/test idempotency.</x:v>
      </x:c>
      <x:c r="D9" s="67" t="str">
        <x:v>Tách sender interface; fake Telegram; chỉ staging token trong test.</x:v>
      </x:c>
      <x:c r="E9" s="68" t="str">
        <x:v>Trước mở tool cho admin</x:v>
      </x:c>
    </x:row>
    <x:row r="10">
      <x:c r="A10" s="66" t="str">
        <x:v>P2</x:v>
      </x:c>
      <x:c r="B10" s="67" t="str">
        <x:v>MCP wrapper</x:v>
      </x:c>
      <x:c r="C10" s="67" t="str">
        <x:v>Disclaimer helper đã test nhưng chưa assert field được inject qua FastMCP tool response.</x:v>
      </x:c>
      <x:c r="D10" s="67" t="str">
        <x:v>Integration test gọi streamable HTTP bằng test user.</x:v>
      </x:c>
      <x:c r="E10" s="68" t="str">
        <x:v>Release kế tiếp</x:v>
      </x:c>
    </x:row>
    <x:row r="11">
      <x:c r="A11" s="71" t="str">
        <x:v>P2</x:v>
      </x:c>
      <x:c r="B11" s="72" t="str">
        <x:v>Tool inventory drift</x:v>
      </x:c>
      <x:c r="C11" s="72" t="str">
        <x:v>Catalog là snapshot source hiện tại; có thể lệch khi thêm tool.</x:v>
      </x:c>
      <x:c r="D11" s="72" t="str">
        <x:v>Tạo script generate catalog từ AST trong CI và fail nếu count thay đổi chưa update checklist.</x:v>
      </x:c>
      <x:c r="E11" s="73" t="str">
        <x:v>Sau UAT</x:v>
      </x:c>
    </x:row>
  </x:sheetData>
  <x:mergeCells>
    <x:mergeCell ref="A1:E1"/>
  </x:mergeCells>
  <x:conditionalFormatting sqref="A4:A11">
    <x:cfRule type="containsText" dxfId="0" priority="1" operator="containsText" text="P0"/>
    <x:cfRule type="containsText" dxfId="1" priority="2" operator="containsText" text="P1"/>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1" hidden="0" customWidth="1"/>
    <x:col min="2" max="2" width="58" hidden="0" customWidth="1"/>
    <x:col min="3" max="3" width="52" hidden="0" customWidth="1"/>
    <x:col min="4" max="4" width="72" hidden="0" customWidth="1"/>
    <x:col min="5" max="5" width="58" hidden="0" customWidth="1"/>
    <x:col min="6" max="6" width="68" hidden="0" customWidth="1"/>
  </x:cols>
  <x:sheetData>
    <x:row r="1" ht="28" customHeight="1">
      <x:c r="A1" s="53" t="str">
        <x:v>DASHBOARD API CONTRACT - ENDPOINT, PAYLOAD &amp; FORMULA</x:v>
      </x:c>
      <x:c r="B1" s="53" t="str">
        <x:v>DASHBOARD API CONTRACT - ENDPOINT, PAYLOAD &amp; FORMULA</x:v>
      </x:c>
      <x:c r="C1" s="53" t="str">
        <x:v>DASHBOARD API CONTRACT - ENDPOINT, PAYLOAD &amp; FORMULA</x:v>
      </x:c>
      <x:c r="D1" s="53" t="str">
        <x:v>DASHBOARD API CONTRACT - ENDPOINT, PAYLOAD &amp; FORMULA</x:v>
      </x:c>
      <x:c r="E1" s="53" t="str">
        <x:v>DASHBOARD API CONTRACT - ENDPOINT, PAYLOAD &amp; FORMULA</x:v>
      </x:c>
      <x:c r="F1" s="53" t="str">
        <x:v>DASHBOARD API CONTRACT - ENDPOINT, PAYLOAD &amp; FORMULA</x:v>
      </x:c>
    </x:row>
    <x:row r="2">
      <x:c r="A2" s="54"/>
      <x:c r="B2" s="54"/>
      <x:c r="C2" s="54"/>
      <x:c r="D2" s="54"/>
      <x:c r="E2" s="54"/>
      <x:c r="F2" s="54"/>
    </x:row>
    <x:row r="3">
      <x:c r="A3" s="56" t="str">
        <x:v>Tool MCP</x:v>
      </x:c>
      <x:c r="B3" s="56" t="str">
        <x:v>REST endpoint read-only</x:v>
      </x:c>
      <x:c r="C3" s="56" t="str">
        <x:v>Payload chính</x:v>
      </x:c>
      <x:c r="D3" s="56" t="str">
        <x:v>Dữ liệu / công thức trả về</x:v>
      </x:c>
      <x:c r="E3" s="56" t="str">
        <x:v>Quy tắc và giới hạn</x:v>
      </x:c>
      <x:c r="F3" s="56" t="str">
        <x:v>Mẫu request / query formula</x:v>
      </x:c>
    </x:row>
    <x:row r="4">
      <x:c r="A4" s="61" t="str">
        <x:v>get_dashboard_order_overview</x:v>
      </x:c>
      <x:c r="B4" s="62" t="str">
        <x:v>POST /Admin/Dashboard/Order/Overview</x:v>
      </x:c>
      <x:c r="C4" s="62" t="str">
        <x:v>periodType, startAt, endAt, siteIds, staffIds</x:v>
      </x:c>
      <x:c r="D4" s="62" t="str">
        <x:v>4 KPI raw payload: số đơn, giá trị đơn, thực thu, còn phải thu</x:v>
      </x:c>
      <x:c r="E4" s="62" t="str">
        <x:v>startAt/endAt = ngày VN (Asia/Ho_Chi_Minh) đổi epoch milliseconds; manager/BOD bị scope site.</x:v>
      </x:c>
      <x:c r="F4" s="63" t="str">
        <x:v>{periodType:1,startAt:&lt;epochVN&gt;,endAt:&lt;epochVN&gt;,siteIds:[...],staffIds:[...]}</x:v>
      </x:c>
    </x:row>
    <x:row r="5">
      <x:c r="A5" s="66" t="str">
        <x:v>get_tinh_hinh_kinh_doanh</x:v>
      </x:c>
      <x:c r="B5" s="67" t="str">
        <x:v>POST Order/Overview + POST Order/BySite; staff from POS</x:v>
      </x:c>
      <x:c r="C5" s="67" t="str">
        <x:v>date range, siteIds</x:v>
      </x:c>
      <x:c r="D5" s="67" t="str">
        <x:v>Tổng quan = overview Dashboard + theo chi nhánh Dashboard + ranking nhân viên POS</x:v>
      </x:c>
      <x:c r="E5" s="67" t="str">
        <x:v>Tool tổng hợp; 4 KPI và site theo API Dashboard, staff không phải payload Dashboard.</x:v>
      </x:c>
      <x:c r="F5" s="68" t="str">
        <x:v>overview(payload common) + bySite(payload common) + POS staff ranking</x:v>
      </x:c>
    </x:row>
    <x:row r="6">
      <x:c r="A6" s="66" t="str">
        <x:v>get_dashboard_order_by_site</x:v>
      </x:c>
      <x:c r="B6" s="67" t="str">
        <x:v>POST /Admin/Dashboard/Order/BySite</x:v>
      </x:c>
      <x:c r="C6" s="67" t="str">
        <x:v>periodType, startAt, endAt, siteIds</x:v>
      </x:c>
      <x:c r="D6" s="67" t="str">
        <x:v>Raw doanh số theo chi nhánh như Dashboard</x:v>
      </x:c>
      <x:c r="E6" s="67" t="str">
        <x:v>Không tự cộng/tính lại các card UI.</x:v>
      </x:c>
      <x:c r="F6" s="68" t="str">
        <x:v>{periodType:1,startAt:&lt;epochVN&gt;,endAt:&lt;epochVN&gt;,siteIds:[...]}</x:v>
      </x:c>
    </x:row>
    <x:row r="7">
      <x:c r="A7" s="66" t="str">
        <x:v>get_dashboard_revenue</x:v>
      </x:c>
      <x:c r="B7" s="67" t="str">
        <x:v>POST /Admin/Dashboard/Revenue</x:v>
      </x:c>
      <x:c r="C7" s="67" t="str">
        <x:v>periodType, startAt, endAt, siteIds</x:v>
      </x:c>
      <x:c r="D7" s="67" t="str">
        <x:v>summary.all.totalRevenue, hmkRevenue, otherRevenue, numOrder, numReturnOrder</x:v>
      </x:c>
      <x:c r="E7" s="67" t="str">
        <x:v>Tổng doanh số Dashboard, không phải Thực thu/Còn phải thu.</x:v>
      </x:c>
      <x:c r="F7" s="68" t="str">
        <x:v>{periodType:1,startAt:&lt;epochVN&gt;,endAt:&lt;epochVN&gt;,siteIds:[...]} → summary.all</x:v>
      </x:c>
    </x:row>
    <x:row r="8">
      <x:c r="A8" s="66" t="str">
        <x:v>get_revenue_by_source</x:v>
      </x:c>
      <x:c r="B8" s="67" t="str">
        <x:v>POST /Admin/Dashboard/Revenue (alias)</x:v>
      </x:c>
      <x:c r="C8" s="67" t="str">
        <x:v>periodType, startAt, endAt, siteIds</x:v>
      </x:c>
      <x:c r="D8" s="67" t="str">
        <x:v>Forward cùng payload get_dashboard_revenue; phân tách HMK/Khác</x:v>
      </x:c>
      <x:c r="E8" s="67" t="str">
        <x:v>Compatibility alias, nguồn chuẩn vẫn là Dashboard Revenue.</x:v>
      </x:c>
      <x:c r="F8" s="68" t="str">
        <x:v>Cùng request Revenue → summary.all.{hmkRevenue,otherRevenue}</x:v>
      </x:c>
    </x:row>
    <x:row r="9">
      <x:c r="A9" s="66" t="str">
        <x:v>get_dashboard_sales_by_customer</x:v>
      </x:c>
      <x:c r="B9" s="67" t="str">
        <x:v>POST /Admin/Dashboard/Revenue/SalesByCustomer</x:v>
      </x:c>
      <x:c r="C9" s="67" t="str">
        <x:v>fromDate, toDate, page=1, size=top_n</x:v>
      </x:c>
      <x:c r="D9" s="67" t="str">
        <x:v>Tổng doanh số/số đơn/đơn trả = SUM các dòng Top N; số khách = meta.total</x:v>
      </x:c>
      <x:c r="E9" s="67" t="str">
        <x:v>Không trộn tổng Top N với tổng toàn danh sách khách.</x:v>
      </x:c>
      <x:c r="F9" s="68" t="str">
        <x:v>{fromDate:&lt;epochVN&gt;,toDate:&lt;epochVN&gt;,page:1,size:topN} → SUM(data[*])</x:v>
      </x:c>
    </x:row>
    <x:row r="10">
      <x:c r="A10" s="66" t="str">
        <x:v>get_dashboard_debt_overview</x:v>
      </x:c>
      <x:c r="B10" s="67" t="str">
        <x:v>POST /Admin/DebtDashboard/RecoveryRate/Statistic + /Revenue/Statistic</x:v>
      </x:c>
      <x:c r="C10" s="67" t="str">
        <x:v>startAt/endAt/customerIds; issueAt/paymentMethodIds</x:v>
      </x:c>
      <x:c r="D10" s="67" t="str">
        <x:v>Số dư đầu kỳ, phát sinh, đã thu, tỷ lệ thu hồi và doanh thu nợ lấy trực tiếp response</x:v>
      </x:c>
      <x:c r="E10" s="67" t="str">
        <x:v>Không thay bằng công thức PaymentOrder POS.</x:v>
      </x:c>
      <x:c r="F10" s="68" t="str">
        <x:v>recovery{startAt,endAt,customerIds} + revenue{issueAt:{from,to},customerIds,paymentMethodIds}</x:v>
      </x:c>
    </x:row>
    <x:row r="11">
      <x:c r="A11" s="66" t="str">
        <x:v>get_dashboard_debt_customers</x:v>
      </x:c>
      <x:c r="B11" s="67" t="str">
        <x:v>POST /Admin/DebtDashboard/CustomerDebt/GetPage</x:v>
      </x:c>
      <x:c r="C11" s="67" t="str">
        <x:v>startAt, endAt, customerIds, page, size</x:v>
      </x:c>
      <x:c r="D11" s="67" t="str">
        <x:v>Danh sách công nợ phân trang raw payload</x:v>
      </x:c>
      <x:c r="E11" s="67" t="str">
        <x:v>page 1..10000; size 1..100.</x:v>
      </x:c>
      <x:c r="F11" s="68" t="str">
        <x:v>{startAt:&lt;epochVN&gt;,endAt:&lt;epochVN&gt;,customerIds:[...],page,size}</x:v>
      </x:c>
    </x:row>
    <x:row r="12">
      <x:c r="A12" s="71" t="str">
        <x:v>get_dashboard_metric</x:v>
      </x:c>
      <x:c r="B12" s="72" t="str">
        <x:v>POST path theo DASHBOARD_READ_METRICS allow-list</x:v>
      </x:c>
      <x:c r="C12" s="72" t="str">
        <x:v>Payload common hoặc revenue_list/staff/product; page, size</x:v>
      </x:c>
      <x:c r="D12" s="72" t="str">
        <x:v>Forward raw payload endpoint theo metric; không có endpoint ghi</x:v>
      </x:c>
      <x:c r="E12" s="72" t="str">
        <x:v>Allow-list hiện có 25 metric; code: dashboard_api.py:DASHBOARD_READ_METRICS.</x:v>
      </x:c>
      <x:c r="F12" s="73" t="str">
        <x:v>metric → allow-list path; common={periodType,startAt,endAt,siteIds,staffIds,...}</x:v>
      </x:c>
    </x:row>
  </x:sheetData>
  <x:mergeCells>
    <x:mergeCell ref="A1:F1"/>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5" hidden="0" customWidth="1"/>
    <x:col min="2" max="2" width="43" hidden="0" customWidth="1"/>
    <x:col min="3" max="3" width="70" hidden="0" customWidth="1"/>
    <x:col min="4" max="4" width="14" hidden="0" customWidth="1"/>
    <x:col min="5" max="5" width="16" hidden="0" customWidth="1"/>
    <x:col min="6" max="6" width="62" hidden="0" customWidth="1"/>
  </x:cols>
  <x:sheetData>
    <x:row r="1" ht="28" customHeight="1">
      <x:c r="A1" s="53" t="str">
        <x:v>PRODUCTION READ-ONLY SMOKE - PASS RESULTS</x:v>
      </x:c>
      <x:c r="B1" s="53" t="str">
        <x:v>PRODUCTION READ-ONLY SMOKE - PASS RESULTS</x:v>
      </x:c>
      <x:c r="C1" s="53" t="str">
        <x:v>PRODUCTION READ-ONLY SMOKE - PASS RESULTS</x:v>
      </x:c>
      <x:c r="D1" s="53" t="str">
        <x:v>PRODUCTION READ-ONLY SMOKE - PASS RESULTS</x:v>
      </x:c>
      <x:c r="E1" s="53" t="str">
        <x:v>PRODUCTION READ-ONLY SMOKE - PASS RESULTS</x:v>
      </x:c>
      <x:c r="F1" s="53" t="str">
        <x:v>PRODUCTION READ-ONLY SMOKE - PASS RESULTS</x:v>
      </x:c>
    </x:row>
    <x:row r="2">
      <x:c r="A2" s="54"/>
      <x:c r="B2" s="54"/>
      <x:c r="C2" s="54"/>
      <x:c r="D2" s="54"/>
      <x:c r="E2" s="54"/>
      <x:c r="F2" s="54"/>
    </x:row>
    <x:row r="3">
      <x:c r="A3" s="56" t="str">
        <x:v>Thành phần</x:v>
      </x:c>
      <x:c r="B3" s="56" t="str">
        <x:v>Probe</x:v>
      </x:c>
      <x:c r="C3" s="56" t="str">
        <x:v>Evidence</x:v>
      </x:c>
      <x:c r="D3" s="56" t="str">
        <x:v>Kết quả</x:v>
      </x:c>
      <x:c r="E3" s="56" t="str">
        <x:v>Ngày test</x:v>
      </x:c>
      <x:c r="F3" s="56" t="str">
        <x:v>Ghi chú</x:v>
      </x:c>
    </x:row>
    <x:row r="4">
      <x:c r="A4" s="61" t="str">
        <x:v>MCP endpoint + OAuth</x:v>
      </x:c>
      <x:c r="B4" s="62" t="str">
        <x:v>https://rockyhmkmcp.share.zrok.io</x:v>
      </x:c>
      <x:c r="C4" s="62" t="str">
        <x:v>Login 302; token 200; initialize 200</x:v>
      </x:c>
      <x:c r="D4" s="91" t="str">
        <x:v>PASS</x:v>
      </x:c>
      <x:c r="E4" s="62" t="str">
        <x:v>2026-08-18</x:v>
      </x:c>
      <x:c r="F4" s="63" t="str">
        <x:v>Probe read-only qua OAuth; không ghi token hoặc thông tin bí mật.</x:v>
      </x:c>
    </x:row>
    <x:row r="5">
      <x:c r="A5" s="66" t="str">
        <x:v>Dashboard API</x:v>
      </x:c>
      <x:c r="B5" s="67" t="str">
        <x:v>get_dashboard_order_overview</x:v>
      </x:c>
      <x:c r="C5" s="67" t="str">
        <x:v>HTTP 200; metric=dashboard_order_overview; source=rocky_dashboard_api</x:v>
      </x:c>
      <x:c r="D5" s="87" t="str">
        <x:v>PASS</x:v>
      </x:c>
      <x:c r="E5" s="67" t="str">
        <x:v>2026-08-18</x:v>
      </x:c>
      <x:c r="F5" s="68" t="str">
        <x:v>Đọc KPI Dashboard qua REST API, không thay đổi dữ liệu.</x:v>
      </x:c>
    </x:row>
    <x:row r="6">
      <x:c r="A6" s="66" t="str">
        <x:v>POS PostgreSQL</x:v>
      </x:c>
      <x:c r="B6" s="67" t="str">
        <x:v>query_raw_pos_sql_tool: SELECT 1</x:v>
      </x:c>
      <x:c r="C6" s="67" t="str">
        <x:v>HTTP 200; metric=raw_pos_sql</x:v>
      </x:c>
      <x:c r="D6" s="87" t="str">
        <x:v>PASS</x:v>
      </x:c>
      <x:c r="E6" s="67" t="str">
        <x:v>2026-08-18</x:v>
      </x:c>
      <x:c r="F6" s="68" t="str">
        <x:v>Smoke SQL read-only, không đọc dữ liệu nghiệp vụ.</x:v>
      </x:c>
    </x:row>
    <x:row r="7">
      <x:c r="A7" s="71" t="str">
        <x:v>WMS PostgreSQL</x:v>
      </x:c>
      <x:c r="B7" s="72" t="str">
        <x:v>check_wms_health</x:v>
      </x:c>
      <x:c r="C7" s="72" t="str">
        <x:v>HTTP 200; status=ok; source=wms_live</x:v>
      </x:c>
      <x:c r="D7" s="88" t="str">
        <x:v>PASS</x:v>
      </x:c>
      <x:c r="E7" s="72" t="str">
        <x:v>2026-08-18</x:v>
      </x:c>
      <x:c r="F7" s="73" t="str">
        <x:v>WMS live read-only health query.</x:v>
      </x:c>
    </x:row>
  </x:sheetData>
  <x:mergeCells>
    <x:mergeCell ref="A1:F1"/>
  </x:mergeCells>
  <x:pageMargins left="0.7" right="0.7" top="0.75" bottom="0.75" header="0.3" footer="0.3"/>
</x:worksheet>
</file>